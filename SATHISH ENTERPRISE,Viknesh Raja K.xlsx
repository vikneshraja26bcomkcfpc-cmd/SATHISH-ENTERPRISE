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" sheetId="1" r:id="rId4"/>
    <sheet state="visible" name="Journal" sheetId="2" r:id="rId5"/>
    <sheet state="visible" name="Ledger" sheetId="3" r:id="rId6"/>
    <sheet state="visible" name="Trial Balance" sheetId="4" r:id="rId7"/>
    <sheet state="visible" name="Trading Account" sheetId="5" r:id="rId8"/>
    <sheet state="visible" name="P&amp;L" sheetId="6" r:id="rId9"/>
    <sheet state="visible" name="Balance Sheet" sheetId="7" r:id="rId10"/>
    <sheet state="visible" name="Ratio Analysis" sheetId="8" r:id="rId11"/>
  </sheets>
  <definedNames/>
  <calcPr/>
  <extLst>
    <ext uri="GoogleSheetsCustomDataVersion2">
      <go:sheetsCustomData xmlns:go="http://customooxmlschemas.google.com/" r:id="rId12" roundtripDataChecksum="3YAxMz0IObZ949pflWucj1t+c773odfkieIz1iSoH2k="/>
    </ext>
  </extLst>
</workbook>
</file>

<file path=xl/sharedStrings.xml><?xml version="1.0" encoding="utf-8"?>
<sst xmlns="http://schemas.openxmlformats.org/spreadsheetml/2006/main" count="944" uniqueCount="347">
  <si>
    <t>In the book of Ledger account of Sathish Enterprises for the Year Ended 31st March 2026</t>
  </si>
  <si>
    <t>In the Books of Journal Entries of Sathish Enterprise for the Year Ended 31st March 2026</t>
  </si>
  <si>
    <t>THE FOLLOWING ARE THE TRANSACTION OF SATHISH ENTERPRISE FOR THE YEAR ENDED 31ST MARCH 2026</t>
  </si>
  <si>
    <t>Trial Balance as on 31st March 2026</t>
  </si>
  <si>
    <t>Commenced business with Cash ₹50,000 and Bank balance ₹1,00,000</t>
  </si>
  <si>
    <t>₹ 150,000</t>
  </si>
  <si>
    <t>Purchased furniture for office use by cheque</t>
  </si>
  <si>
    <t>₹ 12,000</t>
  </si>
  <si>
    <t>Purchased goods on credit from Alpha Suppliers</t>
  </si>
  <si>
    <t>₹ 25,000</t>
  </si>
  <si>
    <t>Paid cash for carriage inwards on goods purchased</t>
  </si>
  <si>
    <t>₹ 800</t>
  </si>
  <si>
    <t>Sold goods for cash</t>
  </si>
  <si>
    <t>₹ 18,000</t>
  </si>
  <si>
    <t>Date</t>
  </si>
  <si>
    <t>Particulars</t>
  </si>
  <si>
    <t>Sold goods on credit to Orion Traders</t>
  </si>
  <si>
    <t>₹ 32,000</t>
  </si>
  <si>
    <t>L.F</t>
  </si>
  <si>
    <t>Paid for electricity bill through cheque</t>
  </si>
  <si>
    <t>Debit ₹</t>
  </si>
  <si>
    <t>₹ 2,000</t>
  </si>
  <si>
    <t>Credit ₹</t>
  </si>
  <si>
    <t>Paid Alpha Suppliers via cheque in full settlement of ₹25,000</t>
  </si>
  <si>
    <t>₹ 24,500</t>
  </si>
  <si>
    <t>01.04.2025</t>
  </si>
  <si>
    <t>Received cheque from Orion Traders on account</t>
  </si>
  <si>
    <t>₹ 20,000</t>
  </si>
  <si>
    <t>Cash A/C</t>
  </si>
  <si>
    <t>Goods returned by Orion Traders (damaged)</t>
  </si>
  <si>
    <t>₹ 1,500</t>
  </si>
  <si>
    <t>Dr.</t>
  </si>
  <si>
    <t>Paid office rent by cheque</t>
  </si>
  <si>
    <t>₹ 4,000</t>
  </si>
  <si>
    <t>Paid electricity bill in cash</t>
  </si>
  <si>
    <t>₹ 600</t>
  </si>
  <si>
    <t>Capital Account</t>
  </si>
  <si>
    <t>SI.NO</t>
  </si>
  <si>
    <t>Purchased goods for cash</t>
  </si>
  <si>
    <t>₹ 15,000</t>
  </si>
  <si>
    <t>Goods returned to suppliers and received cash</t>
  </si>
  <si>
    <t>₹ 1,000</t>
  </si>
  <si>
    <t>Owner withdrew cash for personal use (Drawings)</t>
  </si>
  <si>
    <t>₹ 3,000</t>
  </si>
  <si>
    <t>Took a long-term bank loan</t>
  </si>
  <si>
    <t>₹ 40,000</t>
  </si>
  <si>
    <t>Paid for advertising by cheque</t>
  </si>
  <si>
    <t>₹ 3,500</t>
  </si>
  <si>
    <t>Cr.</t>
  </si>
  <si>
    <t>Bank A/C</t>
  </si>
  <si>
    <t>Sold goods on credit to Zenith Corp</t>
  </si>
  <si>
    <t>₹ 45,000</t>
  </si>
  <si>
    <t>Received full payment from Zenith Corp via cheque</t>
  </si>
  <si>
    <t>To Capital A/C</t>
  </si>
  <si>
    <t>Paid insurance premium by cheque</t>
  </si>
  <si>
    <t>₹ 2,400</t>
  </si>
  <si>
    <t>Purchased office equipment on credit from Tech Solutions</t>
  </si>
  <si>
    <t>₹ 8,500</t>
  </si>
  <si>
    <t>J.F</t>
  </si>
  <si>
    <t>Paid salaries to staff via bank transfer</t>
  </si>
  <si>
    <t>₹ 14,000</t>
  </si>
  <si>
    <t>(Being Commenced business with Cash and Bank balance)</t>
  </si>
  <si>
    <t>Amount₹</t>
  </si>
  <si>
    <t>₹ 22,000</t>
  </si>
  <si>
    <t>Paid internet and telephone bills in cash</t>
  </si>
  <si>
    <t>₹ 400</t>
  </si>
  <si>
    <t>03.04.2025</t>
  </si>
  <si>
    <t>Furniture A/C</t>
  </si>
  <si>
    <t>Received commission income in cash</t>
  </si>
  <si>
    <t>₹ 1,200</t>
  </si>
  <si>
    <t>Purchased delivery van by cheque</t>
  </si>
  <si>
    <t>₹ 30,000</t>
  </si>
  <si>
    <t>Paid Tech Solutions ₹5,000 on account via cheque</t>
  </si>
  <si>
    <t>To Bank A/C</t>
  </si>
  <si>
    <t>₹ 5,000</t>
  </si>
  <si>
    <t>31.03.2026</t>
  </si>
  <si>
    <t>To Balance c/d</t>
  </si>
  <si>
    <t>Paid interest on bank loan via cheque</t>
  </si>
  <si>
    <t>Paid rent through cash</t>
  </si>
  <si>
    <t>(Being Purchased furniture for office use by cheque)</t>
  </si>
  <si>
    <t>By Cash A/C</t>
  </si>
  <si>
    <t>Paid Tech Solutions ₹3000 on account via cheque</t>
  </si>
  <si>
    <t>Received interest on fixed deposite</t>
  </si>
  <si>
    <t>Purchased A/C</t>
  </si>
  <si>
    <t>12.04.2025</t>
  </si>
  <si>
    <t>Adjustments</t>
  </si>
  <si>
    <t>Closing stock</t>
  </si>
  <si>
    <t>₹ 10,000</t>
  </si>
  <si>
    <t>To Alpha Suppliers A/C</t>
  </si>
  <si>
    <t>outstanding salary</t>
  </si>
  <si>
    <t>Alpha Suppliers A/C</t>
  </si>
  <si>
    <t>By Bank A/C</t>
  </si>
  <si>
    <t>Adjustment: Depreciation on Furniture (10% of ₹12,000)</t>
  </si>
  <si>
    <t>Adjustment: Depreciation on Delivery Van (10% of ₹30,000)</t>
  </si>
  <si>
    <t>(Being Purchased goods on credit from Alpha Suppliers)</t>
  </si>
  <si>
    <t>25.04.2025</t>
  </si>
  <si>
    <t>Carriage Inwards A/C</t>
  </si>
  <si>
    <t>Carrige Inwards A/C</t>
  </si>
  <si>
    <t>To Cash A/C</t>
  </si>
  <si>
    <t>Sales A/C</t>
  </si>
  <si>
    <t>(Being Paid cash for carriage inwards on goods purchased)</t>
  </si>
  <si>
    <t>05.05.2025</t>
  </si>
  <si>
    <t>Orion Traders A/C</t>
  </si>
  <si>
    <t>01.04.2026</t>
  </si>
  <si>
    <t>By Balance b/d</t>
  </si>
  <si>
    <t>Electricity Bills A/C</t>
  </si>
  <si>
    <t>To Sales A/C</t>
  </si>
  <si>
    <t>(Being Sold goods for cash)</t>
  </si>
  <si>
    <t>Discount Received A/C</t>
  </si>
  <si>
    <t>18.05.2025</t>
  </si>
  <si>
    <t>Sales Return A/C</t>
  </si>
  <si>
    <t>Cash Account</t>
  </si>
  <si>
    <t>Rent A/C</t>
  </si>
  <si>
    <t>(Being Sold goods on credit to Orion Traders)</t>
  </si>
  <si>
    <t>10.06.2025</t>
  </si>
  <si>
    <t>Purchased Return A/C</t>
  </si>
  <si>
    <t>Electricity Bill A/C</t>
  </si>
  <si>
    <t>Drawings A/C</t>
  </si>
  <si>
    <t>(Being Paid for electricity bill through cheque)</t>
  </si>
  <si>
    <t>Bank Loan A/C</t>
  </si>
  <si>
    <t>By Carriage Inwards A/C</t>
  </si>
  <si>
    <t>28.06.2025</t>
  </si>
  <si>
    <t>Capital A/C</t>
  </si>
  <si>
    <t>To Discount Received A/C</t>
  </si>
  <si>
    <t>Advertisement A/C</t>
  </si>
  <si>
    <t>(Being Paid Alpha Suppliers via cheque in full settlement)</t>
  </si>
  <si>
    <t>Zenith Corp A/C</t>
  </si>
  <si>
    <t>30.08.2025</t>
  </si>
  <si>
    <t>By Electricity Bill A/C</t>
  </si>
  <si>
    <t>05.07.2025</t>
  </si>
  <si>
    <t>Insurance Premium A/C</t>
  </si>
  <si>
    <t>To Orion Traders A/C</t>
  </si>
  <si>
    <t>29.09.2025</t>
  </si>
  <si>
    <t>To Purchased Return A/C</t>
  </si>
  <si>
    <t>(Being Received cheque from Orion Traders on account)</t>
  </si>
  <si>
    <t>Office Equipments A/C</t>
  </si>
  <si>
    <t>14.09.2025</t>
  </si>
  <si>
    <t>By Purchased A/C</t>
  </si>
  <si>
    <t>22.07.2025</t>
  </si>
  <si>
    <t>Tech Solution A/C</t>
  </si>
  <si>
    <t>Salary A/C</t>
  </si>
  <si>
    <t>05.02.2026</t>
  </si>
  <si>
    <t>(Being Goods returned by Orion Traders)</t>
  </si>
  <si>
    <t>12.10.2025</t>
  </si>
  <si>
    <t>Internet &amp; Telephone A/C</t>
  </si>
  <si>
    <t>By Drawings A/C</t>
  </si>
  <si>
    <t>11.08.2025</t>
  </si>
  <si>
    <t>Commission Received A/C</t>
  </si>
  <si>
    <t>In the book of Trading Account for the year Ended 31st March 2026</t>
  </si>
  <si>
    <t>25.02.2026</t>
  </si>
  <si>
    <t>To Commission Received A/C</t>
  </si>
  <si>
    <t>Delivery Van A/C</t>
  </si>
  <si>
    <t>18.02.2026</t>
  </si>
  <si>
    <t>By Internet &amp; Telephone A/C</t>
  </si>
  <si>
    <t>(Being Paid office rent by cheque)</t>
  </si>
  <si>
    <t>Interest on Loan A/C</t>
  </si>
  <si>
    <t>Dr</t>
  </si>
  <si>
    <t>Interest Received A/C</t>
  </si>
  <si>
    <t>Cr</t>
  </si>
  <si>
    <t>28.03.2026</t>
  </si>
  <si>
    <t>By Rent A/C</t>
  </si>
  <si>
    <t>Amount ₹</t>
  </si>
  <si>
    <t>Total</t>
  </si>
  <si>
    <t>(Being Paid electricity bill in cash)</t>
  </si>
  <si>
    <t>By Balance c/d</t>
  </si>
  <si>
    <t>To Opening Stock</t>
  </si>
  <si>
    <t>-</t>
  </si>
  <si>
    <t>By Sales A/C</t>
  </si>
  <si>
    <t>(Being Purchased goods for cash)</t>
  </si>
  <si>
    <t>To Purchased A/C</t>
  </si>
  <si>
    <t>To Balance b/d</t>
  </si>
  <si>
    <t>(Being Goods returned to suppliers and received cash)</t>
  </si>
  <si>
    <t>Less : Sales Return</t>
  </si>
  <si>
    <t>Less : Purchased Return</t>
  </si>
  <si>
    <t>(Being Owner withdrew cash for personal use)</t>
  </si>
  <si>
    <t>By Closing Stock</t>
  </si>
  <si>
    <t>25.10.2025</t>
  </si>
  <si>
    <t>Bank Account</t>
  </si>
  <si>
    <t>Direct Expenses :</t>
  </si>
  <si>
    <t>To Bank Loan A/C</t>
  </si>
  <si>
    <t>To Carriage Inwards A/C</t>
  </si>
  <si>
    <t>(Being Took a long-term bank loan)</t>
  </si>
  <si>
    <t>To Gross Profit c/d</t>
  </si>
  <si>
    <t>08.11.2025</t>
  </si>
  <si>
    <t>By Furniture A/C</t>
  </si>
  <si>
    <t>(Being Paid for advertising by cheque)</t>
  </si>
  <si>
    <t>22.11.2025</t>
  </si>
  <si>
    <t>(Being Sold goods on credit to Zenith Corp)</t>
  </si>
  <si>
    <t>By Alpha Suppliers A/C</t>
  </si>
  <si>
    <t>05.12.2025</t>
  </si>
  <si>
    <t>To Zenith Corp A/C</t>
  </si>
  <si>
    <t>(Being Received full payment from Zenith Corp via cheque)</t>
  </si>
  <si>
    <t>19.12.2025</t>
  </si>
  <si>
    <t>30.03.2026</t>
  </si>
  <si>
    <t>To Interest Received A/C</t>
  </si>
  <si>
    <t>(Being Paid insurance premium by cheque)</t>
  </si>
  <si>
    <t>By Advertisement A/C</t>
  </si>
  <si>
    <t>10.01.2026</t>
  </si>
  <si>
    <t>In the book of Profit &amp; Loss Account for the year Ended 31st March 2026</t>
  </si>
  <si>
    <t>To Tech Solutions A/C</t>
  </si>
  <si>
    <t>By Insurance Premium A/C</t>
  </si>
  <si>
    <t>(Being Purchased office equipment on credit from Tech Solutions)</t>
  </si>
  <si>
    <t>27.01.2026</t>
  </si>
  <si>
    <t>By Salary A/C</t>
  </si>
  <si>
    <t>To Electricity Bills A/C</t>
  </si>
  <si>
    <t>(Being Paid salaries to staff via bank transfer)</t>
  </si>
  <si>
    <t>By Gross Profit b/d</t>
  </si>
  <si>
    <t>To Rent A/C</t>
  </si>
  <si>
    <t>05.03.2026</t>
  </si>
  <si>
    <t>By Delivery Van A/C</t>
  </si>
  <si>
    <t>By Discount Received A/C</t>
  </si>
  <si>
    <t>To Advertisement A/C</t>
  </si>
  <si>
    <t>By Commission Received A/C</t>
  </si>
  <si>
    <t>To Insurance Premium A/C</t>
  </si>
  <si>
    <t>15.03.2026</t>
  </si>
  <si>
    <t>By Tech Solutions A/C</t>
  </si>
  <si>
    <t>By Interest Received A/C</t>
  </si>
  <si>
    <t>To Salary A/C</t>
  </si>
  <si>
    <t>Add : Outstanding Salary</t>
  </si>
  <si>
    <t>By Interest on Loan A/C</t>
  </si>
  <si>
    <t>(Being Paid internet and telephone bills in cash)</t>
  </si>
  <si>
    <t>To Internet &amp; Telephone A/C</t>
  </si>
  <si>
    <t>To Interest on Loan A/C</t>
  </si>
  <si>
    <t>29.03.2026</t>
  </si>
  <si>
    <t>To Depreciation on Furniture A/C</t>
  </si>
  <si>
    <t>(Being Received commission income in cash)</t>
  </si>
  <si>
    <t>To Depreciation on Delivery Van A/C</t>
  </si>
  <si>
    <t>To Net Profit (Transferred to Capital A/C)</t>
  </si>
  <si>
    <t>(Being Purchased delivery van by cheque)</t>
  </si>
  <si>
    <t>Tech Solutions A/C</t>
  </si>
  <si>
    <t>(Being Paid Tech Solutions on account via cheque)</t>
  </si>
  <si>
    <t>(Being Paid interest on bank loan via cheque)</t>
  </si>
  <si>
    <t>Furniture Account</t>
  </si>
  <si>
    <t>In the book of Balance Sheet as on 31st March 2026</t>
  </si>
  <si>
    <t>(Being Paid rent through cash)</t>
  </si>
  <si>
    <t>Liabilities</t>
  </si>
  <si>
    <t>Assets</t>
  </si>
  <si>
    <t>Capital</t>
  </si>
  <si>
    <t>Current Assests :</t>
  </si>
  <si>
    <t>(Being Received interest on fixed deposit)</t>
  </si>
  <si>
    <t>Add : Net Profit</t>
  </si>
  <si>
    <t>Less : Drawings</t>
  </si>
  <si>
    <t>Closing Stock</t>
  </si>
  <si>
    <t>Purchased Account</t>
  </si>
  <si>
    <t>Non - Current Liabilities :</t>
  </si>
  <si>
    <t>Fixed Assests :</t>
  </si>
  <si>
    <t>Current Liabilities :</t>
  </si>
  <si>
    <t>Outstanding Salary</t>
  </si>
  <si>
    <t>Less : Depreciation</t>
  </si>
  <si>
    <t>Ratio Analysis.</t>
  </si>
  <si>
    <t>Furniture &amp; A/C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</si>
  <si>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</si>
  <si>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</si>
  <si>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</si>
  <si>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</si>
  <si>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</si>
  <si>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rPr>
        <rFont val="Calibri"/>
        <color theme="1"/>
        <sz val="11.0"/>
      </rPr>
      <t xml:space="preserve">Ideal Ratio is </t>
    </r>
    <r>
      <rPr>
        <rFont val="Calibri Light"/>
        <b/>
        <color theme="1"/>
        <sz val="11.0"/>
      </rPr>
      <t>2:1.</t>
    </r>
  </si>
  <si>
    <t>Alpha Suppliers Account</t>
  </si>
  <si>
    <t>Current Liabilities</t>
  </si>
  <si>
    <r>
      <rPr>
        <rFont val="Calibri"/>
        <color theme="1"/>
        <sz val="11.0"/>
      </rPr>
      <t xml:space="preserve">The firm has </t>
    </r>
    <r>
      <rPr>
        <rFont val="Calibri Light"/>
        <b/>
        <color theme="1"/>
        <sz val="11.0"/>
      </rPr>
      <t xml:space="preserve">₹35.73 </t>
    </r>
    <r>
      <rPr>
        <rFont val="Calibri Light"/>
        <color theme="1"/>
        <sz val="11.0"/>
      </rPr>
      <t>of current assets for every ₹1 of current liabilities.</t>
    </r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</si>
  <si>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</si>
  <si>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</si>
  <si>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</si>
  <si>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</si>
  <si>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</si>
  <si>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</si>
  <si>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r>
      <rPr>
        <rFont val="Calibri"/>
        <color theme="1"/>
        <sz val="11.0"/>
      </rPr>
      <t xml:space="preserve">Ideal ratio is </t>
    </r>
    <r>
      <rPr>
        <rFont val="Calibri Light"/>
        <b/>
        <color theme="1"/>
        <sz val="11.0"/>
      </rPr>
      <t>1:1.</t>
    </r>
  </si>
  <si>
    <r>
      <rPr>
        <rFont val="Calibri"/>
        <color theme="1"/>
        <sz val="11.0"/>
      </rPr>
      <t>The firm has</t>
    </r>
    <r>
      <rPr>
        <rFont val="Calibri Light"/>
        <b/>
        <color theme="1"/>
        <sz val="11.0"/>
      </rPr>
      <t xml:space="preserve"> ₹33.91</t>
    </r>
    <r>
      <rPr>
        <rFont val="Calibri Light"/>
        <color theme="1"/>
        <sz val="11.0"/>
      </rPr>
      <t xml:space="preserve"> of quick (Liquid) assets for every ₹1 of current Liabilities.</t>
    </r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</si>
  <si>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</si>
  <si>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</si>
  <si>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</si>
  <si>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Carriage Inwards Account</t>
  </si>
  <si>
    <t>3.Cash Ratio</t>
  </si>
  <si>
    <t>(Cash + Cash Equivalents) / Current Liabilities.</t>
  </si>
  <si>
    <t>Cash + Cash equivalents</t>
  </si>
  <si>
    <r>
      <rPr>
        <rFont val="Calibri"/>
        <color theme="1"/>
        <sz val="11.0"/>
      </rPr>
      <t xml:space="preserve">Ideal Ratio is </t>
    </r>
    <r>
      <rPr>
        <rFont val="Calibri Light"/>
        <b/>
        <color theme="1"/>
        <sz val="11.0"/>
      </rPr>
      <t>0.5:1.</t>
    </r>
  </si>
  <si>
    <r>
      <rPr>
        <rFont val="Calibri"/>
        <color theme="1"/>
        <sz val="11.0"/>
      </rPr>
      <t>The firm has</t>
    </r>
    <r>
      <rPr>
        <rFont val="Calibri Light"/>
        <b/>
        <color theme="1"/>
        <sz val="11.0"/>
      </rPr>
      <t xml:space="preserve"> ₹32.00</t>
    </r>
    <r>
      <rPr>
        <rFont val="Calibri Light"/>
        <color theme="1"/>
        <sz val="11.0"/>
      </rPr>
      <t xml:space="preserve"> of cash and cash equivalents for every ₹1 of current liabilities.</t>
    </r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</si>
  <si>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</si>
  <si>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</si>
  <si>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</si>
  <si>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</si>
  <si>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</si>
  <si>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</si>
  <si>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r>
      <rPr>
        <rFont val="Calibri"/>
        <color theme="1"/>
        <sz val="11.0"/>
      </rPr>
      <t xml:space="preserve">Ideal Ratio is </t>
    </r>
    <r>
      <rPr>
        <rFont val="Calibri Light"/>
        <b/>
        <color theme="1"/>
        <sz val="11.0"/>
      </rPr>
      <t>&lt; 1.0.</t>
    </r>
  </si>
  <si>
    <t>Shareholder's Equity</t>
  </si>
  <si>
    <r>
      <rPr>
        <rFont val="Calibri"/>
        <color theme="1"/>
        <sz val="11.0"/>
      </rPr>
      <t xml:space="preserve">The firm has </t>
    </r>
    <r>
      <rPr>
        <rFont val="Calibri Light"/>
        <b/>
        <color theme="1"/>
        <sz val="11.0"/>
      </rPr>
      <t>₹0.2306</t>
    </r>
    <r>
      <rPr>
        <rFont val="Calibri Light"/>
        <color theme="1"/>
        <sz val="11.0"/>
      </rPr>
      <t xml:space="preserve"> of debt for every ₹1 of shareholder's equity.</t>
    </r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</si>
  <si>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</si>
  <si>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</si>
  <si>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</si>
  <si>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</si>
  <si>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</si>
  <si>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t>Sales Account</t>
  </si>
  <si>
    <r>
      <rPr>
        <rFont val="Calibri"/>
        <color theme="1"/>
        <sz val="11.0"/>
      </rPr>
      <t xml:space="preserve">Ideal Ratio </t>
    </r>
    <r>
      <rPr>
        <rFont val="Calibri Light"/>
        <b/>
        <color theme="1"/>
        <sz val="11.0"/>
      </rPr>
      <t>&lt;50%.</t>
    </r>
  </si>
  <si>
    <r>
      <rPr>
        <rFont val="Calibri"/>
        <color theme="1"/>
        <sz val="11.0"/>
      </rPr>
      <t xml:space="preserve">The firm has </t>
    </r>
    <r>
      <rPr>
        <rFont val="Calibri Light"/>
        <b/>
        <color theme="1"/>
        <sz val="11.0"/>
      </rPr>
      <t>₹0.1874</t>
    </r>
    <r>
      <rPr>
        <rFont val="Calibri Light"/>
        <color theme="1"/>
        <sz val="11.0"/>
      </rPr>
      <t>of debt for every ₹1 of shareholder's equity.</t>
    </r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</si>
  <si>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</si>
  <si>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</si>
  <si>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</si>
  <si>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</si>
  <si>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</si>
  <si>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</si>
  <si>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r>
      <rPr>
        <rFont val="Calibri"/>
        <color theme="1"/>
        <sz val="11.0"/>
      </rPr>
      <t>Ideal Ratio is</t>
    </r>
    <r>
      <rPr>
        <rFont val="Calibri Light"/>
        <b/>
        <color theme="1"/>
        <sz val="11.0"/>
      </rPr>
      <t xml:space="preserve"> &gt;2 times.</t>
    </r>
  </si>
  <si>
    <t>Total Net Sales</t>
  </si>
  <si>
    <t>By Orion Traders A/C</t>
  </si>
  <si>
    <r>
      <rPr>
        <rFont val="Calibri"/>
        <color theme="1"/>
        <sz val="11.0"/>
      </rPr>
      <t>The firm generates</t>
    </r>
    <r>
      <rPr>
        <rFont val="Calibri Light"/>
        <b/>
        <color theme="1"/>
        <sz val="11.0"/>
      </rPr>
      <t xml:space="preserve"> ₹0.476</t>
    </r>
    <r>
      <rPr>
        <rFont val="Calibri Light"/>
        <color theme="1"/>
        <sz val="11.0"/>
      </rPr>
      <t xml:space="preserve"> of net sales for every ₹1 invested in total assets.</t>
    </r>
  </si>
  <si>
    <t>If Ratio very low → poor Utilization of assets.</t>
  </si>
  <si>
    <t>Assets Turnover Ratio</t>
  </si>
  <si>
    <t>By Zenith Corp A/C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</si>
  <si>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</si>
  <si>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</si>
  <si>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</si>
  <si>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</si>
  <si>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r>
      <rPr>
        <rFont val="Calibri"/>
        <color theme="1"/>
        <sz val="11.0"/>
      </rPr>
      <t xml:space="preserve">Ideal Ratio is </t>
    </r>
    <r>
      <rPr>
        <rFont val="Calibri Light"/>
        <b/>
        <color theme="1"/>
        <sz val="11.0"/>
      </rPr>
      <t>5 - 10</t>
    </r>
    <r>
      <rPr>
        <rFont val="Calibri Light"/>
        <color theme="1"/>
        <sz val="11.0"/>
      </rPr>
      <t xml:space="preserve"> times.</t>
    </r>
  </si>
  <si>
    <t>Average Inventory</t>
  </si>
  <si>
    <r>
      <rPr>
        <rFont val="Calibri"/>
        <color theme="1"/>
        <sz val="11.0"/>
      </rPr>
      <t xml:space="preserve">The inventory turnover ratio is </t>
    </r>
    <r>
      <rPr>
        <rFont val="Calibri Light"/>
        <b/>
        <color theme="1"/>
        <sz val="11.0"/>
      </rPr>
      <t>5.96</t>
    </r>
    <r>
      <rPr>
        <rFont val="Calibri Light"/>
        <color theme="1"/>
        <sz val="11.0"/>
      </rPr>
      <t xml:space="preserve">  times, which is below the ideal range of 5 - 10 tmies.</t>
    </r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</si>
  <si>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</si>
  <si>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</si>
  <si>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</si>
  <si>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</si>
  <si>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</si>
  <si>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Orion Traders Account</t>
  </si>
  <si>
    <t>Net Sales</t>
  </si>
  <si>
    <r>
      <rPr>
        <rFont val="Calibri"/>
        <color theme="1"/>
        <sz val="11.0"/>
      </rPr>
      <t xml:space="preserve">Ideal Ratio is </t>
    </r>
    <r>
      <rPr>
        <rFont val="Calibri Light"/>
        <b/>
        <color theme="1"/>
        <sz val="11.0"/>
      </rPr>
      <t>2 - 4.</t>
    </r>
  </si>
  <si>
    <t>Current Assets - Current Liabilities.</t>
  </si>
  <si>
    <r>
      <rPr>
        <rFont val="Calibri"/>
        <color theme="1"/>
        <sz val="11.0"/>
      </rPr>
      <t xml:space="preserve">The working Capital Turnover Ratio of </t>
    </r>
    <r>
      <rPr>
        <rFont val="Calibri Light"/>
        <b/>
        <color theme="1"/>
        <sz val="11.0"/>
      </rPr>
      <t xml:space="preserve">0.605 </t>
    </r>
    <r>
      <rPr>
        <rFont val="Calibri Light"/>
        <color theme="1"/>
        <sz val="11.0"/>
      </rPr>
      <t>times is below the ideal range of 2 - 4 times.</t>
    </r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</si>
  <si>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</si>
  <si>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</si>
  <si>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</si>
  <si>
    <t>By Sales Return A/C</t>
  </si>
  <si>
    <t>Electricity Bills Account</t>
  </si>
  <si>
    <t>Discount Received Account</t>
  </si>
  <si>
    <t>Sales Return Account</t>
  </si>
  <si>
    <t>Rent Account</t>
  </si>
  <si>
    <t>Purchased Return Account</t>
  </si>
  <si>
    <t>Drawings Account</t>
  </si>
  <si>
    <t>Bank Loan Account</t>
  </si>
  <si>
    <t>Advertisement Account</t>
  </si>
  <si>
    <t>Zenith Corp Account</t>
  </si>
  <si>
    <t>Insurance Premium Account</t>
  </si>
  <si>
    <t>Office Equipments Account</t>
  </si>
  <si>
    <t>Tech Solutions Account</t>
  </si>
  <si>
    <t>By Office Equipments A/C</t>
  </si>
  <si>
    <t>Salary Account</t>
  </si>
  <si>
    <t>Internet &amp; Telephone Account</t>
  </si>
  <si>
    <t>Commission Received Account</t>
  </si>
  <si>
    <t>Delivery van Account</t>
  </si>
  <si>
    <t>Interest on Loan Account</t>
  </si>
  <si>
    <t>Interest Received 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</si>
</sst>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 * #,##0_ ;_ * \-#,##0_ ;_ * &quot;-&quot;??_ ;_ @_ "/>
    <numFmt numFmtId="165" formatCode="_ * #,##0.00_ ;_ * \-#,##0.00_ ;_ * &quot;-&quot;??_ ;_ @_ "/>
    <numFmt numFmtId="166" formatCode="_ * #,##0.0000_ ;_ * \-#,##0.0000_ ;_ * &quot;-&quot;??_ ;_ @_ "/>
    <numFmt numFmtId="167" formatCode="_ * #,##0.000_ ;_ * \-#,##0.000_ ;_ * &quot;-&quot;??_ ;_ @_ "/>
  </numFmts>
  <fonts count="12">
    <font>
      <sz val="11.0"/>
      <color theme="1"/>
      <name val="Calibri"/>
      <scheme val="minor"/>
    </font>
    <font>
      <b/>
      <sz val="14.0"/>
      <color theme="1"/>
      <name val="Times New Roman"/>
    </font>
    <font/>
    <font>
      <sz val="12.0"/>
      <color theme="1"/>
      <name val="Times New Roman"/>
    </font>
    <font>
      <sz val="11.0"/>
      <color theme="1"/>
      <name val="Calibri"/>
    </font>
    <font>
      <b/>
      <sz val="11.0"/>
      <color theme="1"/>
      <name val="Times New Roman"/>
    </font>
    <font>
      <sz val="11.0"/>
      <color theme="1"/>
      <name val="Times New Roman"/>
    </font>
    <font>
      <b/>
      <sz val="12.0"/>
      <color theme="1"/>
      <name val="Times New Roman"/>
    </font>
    <font>
      <b/>
      <sz val="11.0"/>
      <color theme="1"/>
      <name val="Calibri"/>
    </font>
    <font>
      <sz val="14.0"/>
      <color theme="1"/>
      <name val="Times New Roman"/>
    </font>
    <font>
      <b/>
      <sz val="11.0"/>
      <color rgb="FF171616"/>
      <name val="Calibri"/>
    </font>
    <font>
      <b/>
      <i/>
      <sz val="11.0"/>
      <color rgb="FF00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40">
    <border/>
    <border>
      <left style="thin">
        <color rgb="FF000000"/>
      </left>
      <top style="thin">
        <color rgb="FF000000"/>
      </top>
      <bottom style="thin">
        <color rgb="FFCCCCCC"/>
      </bottom>
    </border>
    <border>
      <top style="thin">
        <color rgb="FF000000"/>
      </top>
      <bottom style="thin">
        <color rgb="FFCCCCCC"/>
      </bottom>
    </border>
    <border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ck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</border>
    <border>
      <left style="thin">
        <color rgb="FF000000"/>
      </lef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ck">
        <color rgb="FF000000"/>
      </bottom>
    </border>
    <border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</border>
    <border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CCCCCC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CCCCCC"/>
      </right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000000"/>
      </right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1" shrinkToFit="0" wrapText="1"/>
    </xf>
    <xf borderId="1" fillId="0" fontId="1" numFmtId="0" xfId="0" applyAlignment="1" applyBorder="1" applyFont="1">
      <alignment horizontal="center" readingOrder="1"/>
    </xf>
    <xf borderId="2" fillId="0" fontId="2" numFmtId="0" xfId="0" applyBorder="1" applyFont="1"/>
    <xf borderId="0" fillId="0" fontId="3" numFmtId="0" xfId="0" applyFont="1"/>
    <xf borderId="3" fillId="0" fontId="2" numFmtId="0" xfId="0" applyBorder="1" applyFont="1"/>
    <xf borderId="0" fillId="0" fontId="4" numFmtId="0" xfId="0" applyFont="1"/>
    <xf borderId="4" fillId="0" fontId="4" numFmtId="0" xfId="0" applyAlignment="1" applyBorder="1" applyFont="1">
      <alignment horizontal="left" readingOrder="1"/>
    </xf>
    <xf borderId="0" fillId="0" fontId="3" numFmtId="16" xfId="0" applyFont="1" applyNumberFormat="1"/>
    <xf borderId="5" fillId="0" fontId="4" numFmtId="0" xfId="0" applyAlignment="1" applyBorder="1" applyFont="1">
      <alignment horizontal="left" readingOrder="1"/>
    </xf>
    <xf borderId="1" fillId="0" fontId="1" numFmtId="0" xfId="0" applyAlignment="1" applyBorder="1" applyFont="1">
      <alignment horizontal="left" readingOrder="1"/>
    </xf>
    <xf borderId="6" fillId="0" fontId="4" numFmtId="0" xfId="0" applyAlignment="1" applyBorder="1" applyFont="1">
      <alignment horizontal="left" readingOrder="1"/>
    </xf>
    <xf borderId="7" fillId="0" fontId="5" numFmtId="0" xfId="0" applyAlignment="1" applyBorder="1" applyFont="1">
      <alignment horizontal="left" readingOrder="1"/>
    </xf>
    <xf borderId="8" fillId="0" fontId="1" numFmtId="0" xfId="0" applyAlignment="1" applyBorder="1" applyFont="1">
      <alignment horizontal="left" readingOrder="1"/>
    </xf>
    <xf borderId="9" fillId="0" fontId="2" numFmtId="0" xfId="0" applyBorder="1" applyFont="1"/>
    <xf borderId="6" fillId="0" fontId="1" numFmtId="0" xfId="0" applyAlignment="1" applyBorder="1" applyFont="1">
      <alignment horizontal="left" readingOrder="1"/>
    </xf>
    <xf borderId="10" fillId="0" fontId="4" numFmtId="0" xfId="0" applyAlignment="1" applyBorder="1" applyFont="1">
      <alignment horizontal="left" readingOrder="1"/>
    </xf>
    <xf borderId="11" fillId="0" fontId="2" numFmtId="0" xfId="0" applyBorder="1" applyFont="1"/>
    <xf borderId="12" fillId="0" fontId="4" numFmtId="0" xfId="0" applyAlignment="1" applyBorder="1" applyFont="1">
      <alignment horizontal="left" readingOrder="1"/>
    </xf>
    <xf borderId="13" fillId="0" fontId="6" numFmtId="0" xfId="0" applyAlignment="1" applyBorder="1" applyFont="1">
      <alignment horizontal="left" readingOrder="1"/>
    </xf>
    <xf borderId="14" fillId="0" fontId="6" numFmtId="0" xfId="0" applyAlignment="1" applyBorder="1" applyFont="1">
      <alignment horizontal="left" readingOrder="1"/>
    </xf>
    <xf borderId="15" fillId="0" fontId="4" numFmtId="0" xfId="0" applyAlignment="1" applyBorder="1" applyFont="1">
      <alignment horizontal="left" readingOrder="1"/>
    </xf>
    <xf borderId="16" fillId="2" fontId="7" numFmtId="0" xfId="0" applyAlignment="1" applyBorder="1" applyFill="1" applyFont="1">
      <alignment horizontal="left" readingOrder="1"/>
    </xf>
    <xf borderId="14" fillId="0" fontId="4" numFmtId="0" xfId="0" applyAlignment="1" applyBorder="1" applyFont="1">
      <alignment horizontal="left" readingOrder="1"/>
    </xf>
    <xf borderId="17" fillId="0" fontId="1" numFmtId="0" xfId="0" applyAlignment="1" applyBorder="1" applyFont="1">
      <alignment horizontal="left" readingOrder="1"/>
    </xf>
    <xf borderId="18" fillId="2" fontId="1" numFmtId="0" xfId="0" applyAlignment="1" applyBorder="1" applyFill="1" applyFont="1">
      <alignment horizontal="center" readingOrder="1"/>
    </xf>
    <xf borderId="14" fillId="0" fontId="6" numFmtId="3" xfId="0" applyAlignment="1" applyBorder="1" applyFont="1" applyNumberFormat="1">
      <alignment horizontal="left" readingOrder="1"/>
    </xf>
    <xf borderId="19" fillId="0" fontId="2" numFmtId="0" xfId="0" applyBorder="1" applyFont="1"/>
    <xf borderId="20" fillId="0" fontId="2" numFmtId="0" xfId="0" applyBorder="1" applyFont="1"/>
    <xf borderId="13" fillId="0" fontId="4" numFmtId="0" xfId="0" applyAlignment="1" applyBorder="1" applyFont="1">
      <alignment horizontal="left" readingOrder="1"/>
    </xf>
    <xf borderId="21" fillId="2" fontId="7" numFmtId="0" xfId="0" applyAlignment="1" applyBorder="1" applyFill="1" applyFont="1">
      <alignment horizontal="left" readingOrder="1"/>
    </xf>
    <xf borderId="17" fillId="0" fontId="6" numFmtId="0" xfId="0" applyAlignment="1" applyBorder="1" applyFont="1">
      <alignment horizontal="left" readingOrder="1"/>
    </xf>
    <xf borderId="13" fillId="2" fontId="7" numFmtId="0" xfId="0" applyAlignment="1" applyBorder="1" applyFill="1" applyFont="1">
      <alignment horizontal="left" readingOrder="1"/>
    </xf>
    <xf borderId="14" fillId="2" fontId="7" numFmtId="0" xfId="0" applyAlignment="1" applyBorder="1" applyFill="1" applyFont="1">
      <alignment horizontal="left" readingOrder="1"/>
    </xf>
    <xf borderId="14" fillId="0" fontId="5" numFmtId="3" xfId="0" applyAlignment="1" applyBorder="1" applyFont="1" applyNumberFormat="1">
      <alignment horizontal="left" readingOrder="1"/>
    </xf>
    <xf borderId="17" fillId="0" fontId="6" numFmtId="3" xfId="0" applyAlignment="1" applyBorder="1" applyFont="1" applyNumberFormat="1">
      <alignment horizontal="left" readingOrder="1"/>
    </xf>
    <xf borderId="8" fillId="0" fontId="4" numFmtId="0" xfId="0" applyAlignment="1" applyBorder="1" applyFont="1">
      <alignment horizontal="left" readingOrder="1"/>
    </xf>
    <xf borderId="6" fillId="0" fontId="6" numFmtId="0" xfId="0" applyAlignment="1" applyBorder="1" applyFont="1">
      <alignment horizontal="left" readingOrder="1"/>
    </xf>
    <xf borderId="6" fillId="0" fontId="6" numFmtId="3" xfId="0" applyAlignment="1" applyBorder="1" applyFont="1" applyNumberFormat="1">
      <alignment horizontal="left" readingOrder="1"/>
    </xf>
    <xf borderId="22" fillId="0" fontId="6" numFmtId="0" xfId="0" applyAlignment="1" applyBorder="1" applyFont="1">
      <alignment horizontal="left" readingOrder="1"/>
    </xf>
    <xf borderId="23" fillId="0" fontId="1" numFmtId="0" xfId="0" applyAlignment="1" applyBorder="1" applyFont="1">
      <alignment horizontal="left" readingOrder="1"/>
    </xf>
    <xf borderId="24" fillId="0" fontId="2" numFmtId="0" xfId="0" applyBorder="1" applyFont="1"/>
    <xf borderId="25" fillId="0" fontId="4" numFmtId="0" xfId="0" applyAlignment="1" applyBorder="1" applyFont="1">
      <alignment horizontal="left" readingOrder="1"/>
    </xf>
    <xf borderId="24" fillId="0" fontId="1" numFmtId="0" xfId="0" applyAlignment="1" applyBorder="1" applyFont="1">
      <alignment horizontal="right" readingOrder="1"/>
    </xf>
    <xf borderId="26" fillId="0" fontId="2" numFmtId="0" xfId="0" applyBorder="1" applyFont="1"/>
    <xf borderId="17" fillId="0" fontId="4" numFmtId="0" xfId="0" applyBorder="1" applyFont="1"/>
    <xf borderId="17" fillId="0" fontId="8" numFmtId="0" xfId="0" applyBorder="1" applyFont="1"/>
    <xf borderId="17" fillId="0" fontId="9" numFmtId="0" xfId="0" applyAlignment="1" applyBorder="1" applyFont="1">
      <alignment horizontal="left" readingOrder="1"/>
    </xf>
    <xf quotePrefix="1" borderId="17" fillId="0" fontId="9" numFmtId="0" xfId="0" applyAlignment="1" applyBorder="1" applyFont="1">
      <alignment horizontal="left" readingOrder="1"/>
    </xf>
    <xf borderId="25" fillId="0" fontId="9" numFmtId="3" xfId="0" applyAlignment="1" applyBorder="1" applyFont="1" applyNumberFormat="1">
      <alignment horizontal="left" readingOrder="1"/>
    </xf>
    <xf borderId="17" fillId="0" fontId="4" numFmtId="0" xfId="0" applyAlignment="1" applyBorder="1" applyFont="1">
      <alignment horizontal="left" readingOrder="1"/>
    </xf>
    <xf borderId="8" fillId="0" fontId="6" numFmtId="0" xfId="0" applyAlignment="1" applyBorder="1" applyFont="1">
      <alignment horizontal="left" readingOrder="1"/>
    </xf>
    <xf borderId="27" fillId="0" fontId="9" numFmtId="3" xfId="0" applyAlignment="1" applyBorder="1" applyFont="1" applyNumberFormat="1">
      <alignment horizontal="left" readingOrder="1"/>
    </xf>
    <xf borderId="17" fillId="0" fontId="9" numFmtId="3" xfId="0" applyAlignment="1" applyBorder="1" applyFont="1" applyNumberFormat="1">
      <alignment horizontal="left" readingOrder="1"/>
    </xf>
    <xf borderId="28" fillId="0" fontId="4" numFmtId="0" xfId="0" applyAlignment="1" applyBorder="1" applyFont="1">
      <alignment horizontal="left" readingOrder="1"/>
    </xf>
    <xf borderId="25" fillId="0" fontId="9" numFmtId="0" xfId="0" applyAlignment="1" applyBorder="1" applyFont="1">
      <alignment horizontal="left" readingOrder="1"/>
    </xf>
    <xf borderId="27" fillId="0" fontId="4" numFmtId="0" xfId="0" applyAlignment="1" applyBorder="1" applyFont="1">
      <alignment horizontal="left" readingOrder="1"/>
    </xf>
    <xf borderId="29" fillId="0" fontId="1" numFmtId="3" xfId="0" applyAlignment="1" applyBorder="1" applyFont="1" applyNumberFormat="1">
      <alignment horizontal="left" readingOrder="1"/>
    </xf>
    <xf borderId="30" fillId="0" fontId="1" numFmtId="0" xfId="0" applyAlignment="1" applyBorder="1" applyFont="1">
      <alignment horizontal="left" readingOrder="1"/>
    </xf>
    <xf borderId="19" fillId="0" fontId="1" numFmtId="0" xfId="0" applyAlignment="1" applyBorder="1" applyFont="1">
      <alignment horizontal="right" readingOrder="1"/>
    </xf>
    <xf borderId="31" fillId="0" fontId="2" numFmtId="0" xfId="0" applyBorder="1" applyFont="1"/>
    <xf borderId="25" fillId="0" fontId="6" numFmtId="3" xfId="0" applyAlignment="1" applyBorder="1" applyFont="1" applyNumberFormat="1">
      <alignment horizontal="left" readingOrder="1"/>
    </xf>
    <xf borderId="27" fillId="0" fontId="6" numFmtId="3" xfId="0" applyAlignment="1" applyBorder="1" applyFont="1" applyNumberFormat="1">
      <alignment horizontal="left" readingOrder="1"/>
    </xf>
    <xf borderId="29" fillId="0" fontId="5" numFmtId="3" xfId="0" applyAlignment="1" applyBorder="1" applyFont="1" applyNumberFormat="1">
      <alignment horizontal="left" readingOrder="1"/>
    </xf>
    <xf borderId="17" fillId="0" fontId="5" numFmtId="0" xfId="0" applyAlignment="1" applyBorder="1" applyFont="1">
      <alignment horizontal="left" readingOrder="1"/>
    </xf>
    <xf borderId="30" fillId="3" fontId="10" numFmtId="0" xfId="0" applyAlignment="1" applyBorder="1" applyFill="1" applyFont="1">
      <alignment horizontal="center" vertical="bottom"/>
    </xf>
    <xf borderId="32" fillId="3" fontId="10" numFmtId="0" xfId="0" applyAlignment="1" applyBorder="1" applyFill="1" applyFont="1">
      <alignment horizontal="center" vertical="bottom"/>
    </xf>
    <xf borderId="30" fillId="3" fontId="11" numFmtId="0" xfId="0" applyAlignment="1" applyBorder="1" applyFill="1" applyFont="1">
      <alignment horizontal="center" vertical="bottom"/>
    </xf>
    <xf borderId="33" fillId="0" fontId="2" numFmtId="0" xfId="0" applyBorder="1" applyFont="1"/>
    <xf borderId="34" fillId="3" fontId="4" numFmtId="0" xfId="0" applyAlignment="1" applyBorder="1" applyFill="1" applyFont="1">
      <alignment vertical="bottom"/>
    </xf>
    <xf borderId="35" fillId="3" fontId="8" numFmtId="0" xfId="0" applyAlignment="1" applyBorder="1" applyFill="1" applyFont="1">
      <alignment vertical="bottom"/>
    </xf>
    <xf borderId="35" fillId="3" fontId="4" numFmtId="0" xfId="0" applyAlignment="1" applyBorder="1" applyFill="1" applyFont="1">
      <alignment vertical="bottom"/>
    </xf>
    <xf borderId="17" fillId="0" fontId="5" numFmtId="3" xfId="0" applyAlignment="1" applyBorder="1" applyFont="1" applyNumberFormat="1">
      <alignment horizontal="left" readingOrder="1"/>
    </xf>
    <xf borderId="36" fillId="0" fontId="4" numFmtId="0" xfId="0" applyAlignment="1" applyBorder="1" applyFont="1">
      <alignment horizontal="left" readingOrder="1"/>
    </xf>
    <xf borderId="35" fillId="3" fontId="4" numFmtId="0" xfId="0" applyAlignment="1" applyBorder="1" applyFill="1" applyFont="1">
      <alignment horizontal="right" vertical="bottom"/>
    </xf>
    <xf borderId="37" fillId="0" fontId="4" numFmtId="0" xfId="0" applyAlignment="1" applyBorder="1" applyFont="1">
      <alignment horizontal="left" readingOrder="1"/>
    </xf>
    <xf borderId="35" fillId="3" fontId="4" numFmtId="164" xfId="0" applyAlignment="1" applyBorder="1" applyFill="1" applyFont="1" applyNumberFormat="1">
      <alignment horizontal="right" vertical="bottom"/>
    </xf>
    <xf borderId="38" fillId="0" fontId="4" numFmtId="0" xfId="0" applyAlignment="1" applyBorder="1" applyFont="1">
      <alignment horizontal="left" readingOrder="1"/>
    </xf>
    <xf borderId="35" fillId="3" fontId="4" numFmtId="164" xfId="0" applyAlignment="1" applyBorder="1" applyFill="1" applyFont="1" applyNumberFormat="1">
      <alignment vertical="bottom"/>
    </xf>
    <xf borderId="35" fillId="3" fontId="4" numFmtId="0" xfId="0" applyAlignment="1" applyBorder="1" applyFill="1" applyFont="1">
      <alignment shrinkToFit="0" vertical="bottom" wrapText="1"/>
    </xf>
    <xf borderId="35" fillId="3" fontId="8" numFmtId="165" xfId="0" applyAlignment="1" applyBorder="1" applyFill="1" applyFont="1" applyNumberFormat="1">
      <alignment horizontal="right" vertical="bottom"/>
    </xf>
    <xf borderId="17" fillId="3" fontId="4" numFmtId="0" xfId="0" applyAlignment="1" applyBorder="1" applyFill="1" applyFont="1">
      <alignment vertical="bottom"/>
    </xf>
    <xf borderId="17" fillId="3" fontId="4" numFmtId="164" xfId="0" applyAlignment="1" applyBorder="1" applyFill="1" applyFont="1" applyNumberFormat="1">
      <alignment vertical="bottom"/>
    </xf>
    <xf borderId="35" fillId="3" fontId="8" numFmtId="164" xfId="0" applyAlignment="1" applyBorder="1" applyFill="1" applyFont="1" applyNumberFormat="1">
      <alignment shrinkToFit="0" vertical="bottom" wrapText="1"/>
    </xf>
    <xf borderId="6" fillId="0" fontId="5" numFmtId="3" xfId="0" applyAlignment="1" applyBorder="1" applyFont="1" applyNumberFormat="1">
      <alignment horizontal="left" readingOrder="1"/>
    </xf>
    <xf borderId="39" fillId="3" fontId="4" numFmtId="0" xfId="0" applyAlignment="1" applyBorder="1" applyFill="1" applyFont="1">
      <alignment vertical="bottom"/>
    </xf>
    <xf borderId="17" fillId="3" fontId="4" numFmtId="165" xfId="0" applyAlignment="1" applyBorder="1" applyFill="1" applyFont="1" applyNumberFormat="1">
      <alignment vertical="bottom"/>
    </xf>
    <xf borderId="35" fillId="3" fontId="8" numFmtId="164" xfId="0" applyAlignment="1" applyBorder="1" applyFill="1" applyFont="1" applyNumberFormat="1">
      <alignment vertical="bottom"/>
    </xf>
    <xf borderId="14" fillId="0" fontId="5" numFmtId="0" xfId="0" applyAlignment="1" applyBorder="1" applyFont="1">
      <alignment horizontal="left" readingOrder="1"/>
    </xf>
    <xf borderId="35" fillId="3" fontId="8" numFmtId="166" xfId="0" applyAlignment="1" applyBorder="1" applyFill="1" applyFont="1" applyNumberFormat="1">
      <alignment horizontal="right" vertical="bottom"/>
    </xf>
    <xf borderId="35" fillId="3" fontId="8" numFmtId="167" xfId="0" applyAlignment="1" applyBorder="1" applyFill="1" applyFont="1" applyNumberFormat="1">
      <alignment horizontal="right" vertical="bottom"/>
    </xf>
    <xf borderId="34" fillId="3" fontId="4" numFmtId="0" xfId="0" applyAlignment="1" applyBorder="1" applyFill="1" applyFont="1">
      <alignment horizontal="right" vertical="bottom"/>
    </xf>
    <xf borderId="34" fillId="3" fontId="8" numFmtId="167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3.43"/>
    <col customWidth="1" min="3" max="26" width="8.71"/>
  </cols>
  <sheetData>
    <row r="1">
      <c r="A1" s="4" t="s">
        <v>2</v>
      </c>
      <c r="B1" s="4"/>
      <c r="C1" s="4"/>
    </row>
    <row r="2">
      <c r="A2" s="8">
        <v>46113.0</v>
      </c>
      <c r="B2" s="4" t="s">
        <v>4</v>
      </c>
      <c r="C2" s="4" t="s">
        <v>5</v>
      </c>
    </row>
    <row r="3">
      <c r="A3" s="8">
        <v>46115.0</v>
      </c>
      <c r="B3" s="4" t="s">
        <v>6</v>
      </c>
      <c r="C3" s="4" t="s">
        <v>7</v>
      </c>
    </row>
    <row r="4">
      <c r="A4" s="8">
        <v>46124.0</v>
      </c>
      <c r="B4" s="4" t="s">
        <v>8</v>
      </c>
      <c r="C4" s="4" t="s">
        <v>9</v>
      </c>
    </row>
    <row r="5">
      <c r="A5" s="8">
        <v>46137.0</v>
      </c>
      <c r="B5" s="4" t="s">
        <v>10</v>
      </c>
      <c r="C5" s="4" t="s">
        <v>11</v>
      </c>
    </row>
    <row r="6">
      <c r="A6" s="8">
        <v>46147.0</v>
      </c>
      <c r="B6" s="4" t="s">
        <v>12</v>
      </c>
      <c r="C6" s="4" t="s">
        <v>13</v>
      </c>
    </row>
    <row r="7">
      <c r="A7" s="8">
        <v>46160.0</v>
      </c>
      <c r="B7" s="4" t="s">
        <v>16</v>
      </c>
      <c r="C7" s="4" t="s">
        <v>17</v>
      </c>
    </row>
    <row r="8">
      <c r="A8" s="8">
        <v>46183.0</v>
      </c>
      <c r="B8" s="4" t="s">
        <v>19</v>
      </c>
      <c r="C8" s="4" t="s">
        <v>21</v>
      </c>
    </row>
    <row r="9">
      <c r="A9" s="8">
        <v>46201.0</v>
      </c>
      <c r="B9" s="4" t="s">
        <v>23</v>
      </c>
      <c r="C9" s="4" t="s">
        <v>24</v>
      </c>
    </row>
    <row r="10">
      <c r="A10" s="8">
        <v>46208.0</v>
      </c>
      <c r="B10" s="4" t="s">
        <v>26</v>
      </c>
      <c r="C10" s="4" t="s">
        <v>27</v>
      </c>
    </row>
    <row r="11">
      <c r="A11" s="8">
        <v>46225.0</v>
      </c>
      <c r="B11" s="4" t="s">
        <v>29</v>
      </c>
      <c r="C11" s="4" t="s">
        <v>30</v>
      </c>
    </row>
    <row r="12">
      <c r="A12" s="8">
        <v>46245.0</v>
      </c>
      <c r="B12" s="4" t="s">
        <v>32</v>
      </c>
      <c r="C12" s="4" t="s">
        <v>33</v>
      </c>
    </row>
    <row r="13">
      <c r="A13" s="8">
        <v>46264.0</v>
      </c>
      <c r="B13" s="4" t="s">
        <v>34</v>
      </c>
      <c r="C13" s="4" t="s">
        <v>35</v>
      </c>
    </row>
    <row r="14">
      <c r="A14" s="8">
        <v>46279.0</v>
      </c>
      <c r="B14" s="4" t="s">
        <v>38</v>
      </c>
      <c r="C14" s="4" t="s">
        <v>39</v>
      </c>
    </row>
    <row r="15">
      <c r="A15" s="8">
        <v>46294.0</v>
      </c>
      <c r="B15" s="4" t="s">
        <v>40</v>
      </c>
      <c r="C15" s="4" t="s">
        <v>41</v>
      </c>
    </row>
    <row r="16">
      <c r="A16" s="8">
        <v>46307.0</v>
      </c>
      <c r="B16" s="4" t="s">
        <v>42</v>
      </c>
      <c r="C16" s="4" t="s">
        <v>43</v>
      </c>
    </row>
    <row r="17">
      <c r="A17" s="8">
        <v>46320.0</v>
      </c>
      <c r="B17" s="4" t="s">
        <v>44</v>
      </c>
      <c r="C17" s="4" t="s">
        <v>45</v>
      </c>
    </row>
    <row r="18">
      <c r="A18" s="8">
        <v>46334.0</v>
      </c>
      <c r="B18" s="4" t="s">
        <v>46</v>
      </c>
      <c r="C18" s="4" t="s">
        <v>47</v>
      </c>
    </row>
    <row r="19">
      <c r="A19" s="8">
        <v>46348.0</v>
      </c>
      <c r="B19" s="4" t="s">
        <v>50</v>
      </c>
      <c r="C19" s="4" t="s">
        <v>51</v>
      </c>
    </row>
    <row r="20">
      <c r="A20" s="8">
        <v>46361.0</v>
      </c>
      <c r="B20" s="4" t="s">
        <v>52</v>
      </c>
      <c r="C20" s="4" t="s">
        <v>51</v>
      </c>
    </row>
    <row r="21" ht="15.75" customHeight="1">
      <c r="A21" s="8">
        <v>46375.0</v>
      </c>
      <c r="B21" s="4" t="s">
        <v>54</v>
      </c>
      <c r="C21" s="4" t="s">
        <v>55</v>
      </c>
    </row>
    <row r="22" ht="15.75" customHeight="1">
      <c r="A22" s="8">
        <v>46032.0</v>
      </c>
      <c r="B22" s="4" t="s">
        <v>56</v>
      </c>
      <c r="C22" s="4" t="s">
        <v>57</v>
      </c>
    </row>
    <row r="23" ht="15.75" customHeight="1">
      <c r="A23" s="8">
        <v>46049.0</v>
      </c>
      <c r="B23" s="4" t="s">
        <v>59</v>
      </c>
      <c r="C23" s="4" t="s">
        <v>60</v>
      </c>
    </row>
    <row r="24" ht="15.75" customHeight="1">
      <c r="A24" s="8">
        <v>46058.0</v>
      </c>
      <c r="B24" s="4" t="s">
        <v>12</v>
      </c>
      <c r="C24" s="4" t="s">
        <v>63</v>
      </c>
    </row>
    <row r="25" ht="15.75" customHeight="1">
      <c r="A25" s="8">
        <v>46071.0</v>
      </c>
      <c r="B25" s="4" t="s">
        <v>64</v>
      </c>
      <c r="C25" s="4" t="s">
        <v>65</v>
      </c>
    </row>
    <row r="26" ht="15.75" customHeight="1">
      <c r="A26" s="8">
        <v>46078.0</v>
      </c>
      <c r="B26" s="4" t="s">
        <v>68</v>
      </c>
      <c r="C26" s="4" t="s">
        <v>69</v>
      </c>
    </row>
    <row r="27" ht="15.75" customHeight="1">
      <c r="A27" s="8">
        <v>46086.0</v>
      </c>
      <c r="B27" s="4" t="s">
        <v>70</v>
      </c>
      <c r="C27" s="4" t="s">
        <v>71</v>
      </c>
    </row>
    <row r="28" ht="15.75" customHeight="1">
      <c r="A28" s="8">
        <v>46096.0</v>
      </c>
      <c r="B28" s="4" t="s">
        <v>72</v>
      </c>
      <c r="C28" s="4" t="s">
        <v>74</v>
      </c>
    </row>
    <row r="29" ht="15.75" customHeight="1">
      <c r="A29" s="8">
        <v>46109.0</v>
      </c>
      <c r="B29" s="4" t="s">
        <v>77</v>
      </c>
      <c r="C29" s="4" t="s">
        <v>21</v>
      </c>
    </row>
    <row r="30" ht="15.75" customHeight="1">
      <c r="A30" s="8">
        <v>46109.0</v>
      </c>
      <c r="B30" s="4" t="s">
        <v>78</v>
      </c>
      <c r="C30" s="4" t="s">
        <v>21</v>
      </c>
    </row>
    <row r="31" ht="15.75" customHeight="1">
      <c r="A31" s="8">
        <v>46110.0</v>
      </c>
      <c r="B31" s="4" t="s">
        <v>81</v>
      </c>
      <c r="C31" s="4" t="s">
        <v>43</v>
      </c>
    </row>
    <row r="32" ht="15.75" customHeight="1">
      <c r="A32" s="8">
        <v>46111.0</v>
      </c>
      <c r="B32" s="4" t="s">
        <v>82</v>
      </c>
      <c r="C32" s="4" t="s">
        <v>43</v>
      </c>
    </row>
    <row r="33" ht="15.75" customHeight="1">
      <c r="A33" s="4" t="s">
        <v>85</v>
      </c>
      <c r="B33" s="4"/>
      <c r="C33" s="4"/>
    </row>
    <row r="34" ht="15.75" customHeight="1">
      <c r="A34" s="8">
        <v>46112.0</v>
      </c>
      <c r="B34" s="4" t="s">
        <v>86</v>
      </c>
      <c r="C34" s="4" t="s">
        <v>87</v>
      </c>
    </row>
    <row r="35" ht="15.75" customHeight="1">
      <c r="A35" s="8">
        <v>46112.0</v>
      </c>
      <c r="B35" s="4" t="s">
        <v>89</v>
      </c>
      <c r="C35" s="4" t="s">
        <v>74</v>
      </c>
    </row>
    <row r="36" ht="15.75" customHeight="1">
      <c r="A36" s="8">
        <v>46112.0</v>
      </c>
      <c r="B36" s="4" t="s">
        <v>92</v>
      </c>
      <c r="C36" s="4" t="s">
        <v>69</v>
      </c>
    </row>
    <row r="37" ht="15.75" customHeight="1">
      <c r="A37" s="8">
        <v>46112.0</v>
      </c>
      <c r="B37" s="4" t="s">
        <v>93</v>
      </c>
      <c r="C37" s="4" t="s">
        <v>43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75.71"/>
    <col customWidth="1" min="3" max="3" width="5.0"/>
    <col customWidth="1" min="4" max="4" width="5.57"/>
    <col customWidth="1" min="5" max="5" width="10.29"/>
    <col customWidth="1" min="6" max="6" width="11.0"/>
    <col customWidth="1" min="7" max="26" width="8.71"/>
  </cols>
  <sheetData>
    <row r="1">
      <c r="A1" s="2" t="s">
        <v>1</v>
      </c>
      <c r="B1" s="3"/>
      <c r="C1" s="3"/>
      <c r="D1" s="3"/>
      <c r="E1" s="3"/>
      <c r="F1" s="5"/>
    </row>
    <row r="2">
      <c r="A2" s="7"/>
      <c r="B2" s="9"/>
      <c r="C2" s="9"/>
      <c r="D2" s="9"/>
      <c r="E2" s="9"/>
      <c r="F2" s="11"/>
    </row>
    <row r="3">
      <c r="A3" s="13" t="s">
        <v>14</v>
      </c>
      <c r="B3" s="15" t="s">
        <v>15</v>
      </c>
      <c r="C3" s="11"/>
      <c r="D3" s="15" t="s">
        <v>18</v>
      </c>
      <c r="E3" s="15" t="s">
        <v>20</v>
      </c>
      <c r="F3" s="15" t="s">
        <v>22</v>
      </c>
    </row>
    <row r="4">
      <c r="A4" s="19" t="s">
        <v>25</v>
      </c>
      <c r="B4" s="20" t="s">
        <v>28</v>
      </c>
      <c r="C4" s="20" t="s">
        <v>31</v>
      </c>
      <c r="D4" s="23"/>
      <c r="E4" s="26">
        <v>50000.0</v>
      </c>
      <c r="F4" s="23"/>
    </row>
    <row r="5">
      <c r="A5" s="29"/>
      <c r="B5" s="20" t="s">
        <v>49</v>
      </c>
      <c r="C5" s="20" t="s">
        <v>31</v>
      </c>
      <c r="D5" s="23"/>
      <c r="E5" s="26">
        <v>100000.0</v>
      </c>
      <c r="F5" s="23"/>
    </row>
    <row r="6">
      <c r="A6" s="29"/>
      <c r="B6" s="20" t="s">
        <v>53</v>
      </c>
      <c r="C6" s="23"/>
      <c r="D6" s="23"/>
      <c r="E6" s="23"/>
      <c r="F6" s="26">
        <v>150000.0</v>
      </c>
    </row>
    <row r="7">
      <c r="A7" s="29"/>
      <c r="B7" s="20" t="s">
        <v>61</v>
      </c>
      <c r="C7" s="23"/>
      <c r="D7" s="23"/>
      <c r="E7" s="23"/>
      <c r="F7" s="23"/>
    </row>
    <row r="8">
      <c r="A8" s="19" t="s">
        <v>66</v>
      </c>
      <c r="B8" s="20" t="s">
        <v>67</v>
      </c>
      <c r="C8" s="20" t="s">
        <v>31</v>
      </c>
      <c r="D8" s="23"/>
      <c r="E8" s="26">
        <v>12000.0</v>
      </c>
      <c r="F8" s="23"/>
    </row>
    <row r="9">
      <c r="A9" s="29"/>
      <c r="B9" s="20" t="s">
        <v>73</v>
      </c>
      <c r="C9" s="23"/>
      <c r="D9" s="23"/>
      <c r="E9" s="23"/>
      <c r="F9" s="26">
        <v>12000.0</v>
      </c>
    </row>
    <row r="10">
      <c r="A10" s="29"/>
      <c r="B10" s="20" t="s">
        <v>79</v>
      </c>
      <c r="C10" s="23"/>
      <c r="D10" s="23"/>
      <c r="E10" s="23"/>
      <c r="F10" s="23"/>
    </row>
    <row r="11">
      <c r="A11" s="19" t="s">
        <v>84</v>
      </c>
      <c r="B11" s="20" t="s">
        <v>83</v>
      </c>
      <c r="C11" s="20" t="s">
        <v>31</v>
      </c>
      <c r="D11" s="23"/>
      <c r="E11" s="26">
        <v>25000.0</v>
      </c>
      <c r="F11" s="23"/>
    </row>
    <row r="12">
      <c r="A12" s="29"/>
      <c r="B12" s="20" t="s">
        <v>88</v>
      </c>
      <c r="C12" s="23"/>
      <c r="D12" s="23"/>
      <c r="E12" s="23"/>
      <c r="F12" s="26">
        <v>25000.0</v>
      </c>
    </row>
    <row r="13">
      <c r="A13" s="29"/>
      <c r="B13" s="20" t="s">
        <v>94</v>
      </c>
      <c r="C13" s="23"/>
      <c r="D13" s="23"/>
      <c r="E13" s="23"/>
      <c r="F13" s="23"/>
    </row>
    <row r="14">
      <c r="A14" s="19" t="s">
        <v>95</v>
      </c>
      <c r="B14" s="20" t="s">
        <v>97</v>
      </c>
      <c r="C14" s="20" t="s">
        <v>31</v>
      </c>
      <c r="D14" s="23"/>
      <c r="E14" s="20">
        <v>800.0</v>
      </c>
      <c r="F14" s="23"/>
    </row>
    <row r="15">
      <c r="A15" s="29"/>
      <c r="B15" s="20" t="s">
        <v>98</v>
      </c>
      <c r="C15" s="23"/>
      <c r="D15" s="23"/>
      <c r="E15" s="23"/>
      <c r="F15" s="20">
        <v>800.0</v>
      </c>
    </row>
    <row r="16">
      <c r="A16" s="29"/>
      <c r="B16" s="20" t="s">
        <v>100</v>
      </c>
      <c r="C16" s="23"/>
      <c r="D16" s="23"/>
      <c r="E16" s="23"/>
      <c r="F16" s="23"/>
    </row>
    <row r="17">
      <c r="A17" s="19" t="s">
        <v>101</v>
      </c>
      <c r="B17" s="20" t="s">
        <v>28</v>
      </c>
      <c r="C17" s="20" t="s">
        <v>31</v>
      </c>
      <c r="D17" s="23"/>
      <c r="E17" s="26">
        <v>18000.0</v>
      </c>
      <c r="F17" s="23"/>
    </row>
    <row r="18">
      <c r="A18" s="29"/>
      <c r="B18" s="20" t="s">
        <v>106</v>
      </c>
      <c r="C18" s="23"/>
      <c r="D18" s="23"/>
      <c r="E18" s="23"/>
      <c r="F18" s="26">
        <v>18000.0</v>
      </c>
    </row>
    <row r="19">
      <c r="A19" s="29"/>
      <c r="B19" s="20" t="s">
        <v>107</v>
      </c>
      <c r="C19" s="23"/>
      <c r="D19" s="23"/>
      <c r="E19" s="23"/>
      <c r="F19" s="23"/>
    </row>
    <row r="20">
      <c r="A20" s="19" t="s">
        <v>109</v>
      </c>
      <c r="B20" s="20" t="s">
        <v>102</v>
      </c>
      <c r="C20" s="20" t="s">
        <v>31</v>
      </c>
      <c r="D20" s="23"/>
      <c r="E20" s="26">
        <v>32000.0</v>
      </c>
      <c r="F20" s="23"/>
    </row>
    <row r="21" ht="15.75" customHeight="1">
      <c r="A21" s="29"/>
      <c r="B21" s="20" t="s">
        <v>106</v>
      </c>
      <c r="C21" s="23"/>
      <c r="D21" s="23"/>
      <c r="E21" s="23"/>
      <c r="F21" s="26">
        <v>32000.0</v>
      </c>
    </row>
    <row r="22" ht="15.75" customHeight="1">
      <c r="A22" s="29"/>
      <c r="B22" s="20" t="s">
        <v>113</v>
      </c>
      <c r="C22" s="23"/>
      <c r="D22" s="23"/>
      <c r="E22" s="23"/>
      <c r="F22" s="23"/>
    </row>
    <row r="23" ht="15.75" customHeight="1">
      <c r="A23" s="19" t="s">
        <v>114</v>
      </c>
      <c r="B23" s="20" t="s">
        <v>116</v>
      </c>
      <c r="C23" s="20" t="s">
        <v>31</v>
      </c>
      <c r="D23" s="23"/>
      <c r="E23" s="26">
        <v>2000.0</v>
      </c>
      <c r="F23" s="23"/>
    </row>
    <row r="24" ht="15.75" customHeight="1">
      <c r="A24" s="29"/>
      <c r="B24" s="20" t="s">
        <v>73</v>
      </c>
      <c r="C24" s="23"/>
      <c r="D24" s="23"/>
      <c r="E24" s="23"/>
      <c r="F24" s="26">
        <v>2000.0</v>
      </c>
    </row>
    <row r="25" ht="15.75" customHeight="1">
      <c r="A25" s="29"/>
      <c r="B25" s="20" t="s">
        <v>118</v>
      </c>
      <c r="C25" s="23"/>
      <c r="D25" s="23"/>
      <c r="E25" s="23"/>
      <c r="F25" s="23"/>
    </row>
    <row r="26" ht="15.75" customHeight="1">
      <c r="A26" s="19" t="s">
        <v>121</v>
      </c>
      <c r="B26" s="20" t="s">
        <v>90</v>
      </c>
      <c r="C26" s="20" t="s">
        <v>31</v>
      </c>
      <c r="D26" s="23"/>
      <c r="E26" s="26">
        <v>25000.0</v>
      </c>
      <c r="F26" s="23"/>
    </row>
    <row r="27" ht="15.75" customHeight="1">
      <c r="A27" s="29"/>
      <c r="B27" s="20" t="s">
        <v>123</v>
      </c>
      <c r="C27" s="23"/>
      <c r="D27" s="23"/>
      <c r="E27" s="23"/>
      <c r="F27" s="20">
        <v>500.0</v>
      </c>
    </row>
    <row r="28" ht="15.75" customHeight="1">
      <c r="A28" s="29"/>
      <c r="B28" s="20" t="s">
        <v>73</v>
      </c>
      <c r="C28" s="23"/>
      <c r="D28" s="23"/>
      <c r="E28" s="23"/>
      <c r="F28" s="26">
        <v>24500.0</v>
      </c>
    </row>
    <row r="29" ht="15.75" customHeight="1">
      <c r="A29" s="29"/>
      <c r="B29" s="20" t="s">
        <v>125</v>
      </c>
      <c r="C29" s="23"/>
      <c r="D29" s="23"/>
      <c r="E29" s="23"/>
      <c r="F29" s="23"/>
    </row>
    <row r="30" ht="15.75" customHeight="1">
      <c r="A30" s="19" t="s">
        <v>129</v>
      </c>
      <c r="B30" s="20" t="s">
        <v>49</v>
      </c>
      <c r="C30" s="20" t="s">
        <v>31</v>
      </c>
      <c r="D30" s="23"/>
      <c r="E30" s="26">
        <v>20000.0</v>
      </c>
      <c r="F30" s="23"/>
    </row>
    <row r="31" ht="15.75" customHeight="1">
      <c r="A31" s="29"/>
      <c r="B31" s="20" t="s">
        <v>131</v>
      </c>
      <c r="C31" s="23"/>
      <c r="D31" s="23"/>
      <c r="E31" s="23"/>
      <c r="F31" s="26">
        <v>20000.0</v>
      </c>
    </row>
    <row r="32" ht="15.75" customHeight="1">
      <c r="A32" s="29"/>
      <c r="B32" s="20" t="s">
        <v>134</v>
      </c>
      <c r="C32" s="23"/>
      <c r="D32" s="23"/>
      <c r="E32" s="23"/>
      <c r="F32" s="23"/>
    </row>
    <row r="33" ht="15.75" customHeight="1">
      <c r="A33" s="19" t="s">
        <v>138</v>
      </c>
      <c r="B33" s="20" t="s">
        <v>110</v>
      </c>
      <c r="C33" s="20" t="s">
        <v>31</v>
      </c>
      <c r="D33" s="23"/>
      <c r="E33" s="26">
        <v>1500.0</v>
      </c>
      <c r="F33" s="23"/>
    </row>
    <row r="34" ht="15.75" customHeight="1">
      <c r="A34" s="29"/>
      <c r="B34" s="20" t="s">
        <v>131</v>
      </c>
      <c r="C34" s="23"/>
      <c r="D34" s="23"/>
      <c r="E34" s="23"/>
      <c r="F34" s="26">
        <v>1500.0</v>
      </c>
    </row>
    <row r="35" ht="15.75" customHeight="1">
      <c r="A35" s="29"/>
      <c r="B35" s="20" t="s">
        <v>142</v>
      </c>
      <c r="C35" s="23"/>
      <c r="D35" s="23"/>
      <c r="E35" s="23"/>
      <c r="F35" s="23"/>
    </row>
    <row r="36" ht="15.75" customHeight="1">
      <c r="A36" s="19" t="s">
        <v>146</v>
      </c>
      <c r="B36" s="20" t="s">
        <v>112</v>
      </c>
      <c r="C36" s="20" t="s">
        <v>31</v>
      </c>
      <c r="D36" s="23"/>
      <c r="E36" s="26">
        <v>4000.0</v>
      </c>
      <c r="F36" s="23"/>
    </row>
    <row r="37" ht="15.75" customHeight="1">
      <c r="A37" s="29"/>
      <c r="B37" s="20" t="s">
        <v>73</v>
      </c>
      <c r="C37" s="23"/>
      <c r="D37" s="23"/>
      <c r="E37" s="23"/>
      <c r="F37" s="26">
        <v>4000.0</v>
      </c>
    </row>
    <row r="38" ht="15.75" customHeight="1">
      <c r="A38" s="29"/>
      <c r="B38" s="20" t="s">
        <v>154</v>
      </c>
      <c r="C38" s="23"/>
      <c r="D38" s="23"/>
      <c r="E38" s="23"/>
      <c r="F38" s="23"/>
    </row>
    <row r="39" ht="15.75" customHeight="1">
      <c r="A39" s="19" t="s">
        <v>127</v>
      </c>
      <c r="B39" s="20" t="s">
        <v>116</v>
      </c>
      <c r="C39" s="20" t="s">
        <v>31</v>
      </c>
      <c r="D39" s="23"/>
      <c r="E39" s="20">
        <v>600.0</v>
      </c>
      <c r="F39" s="23"/>
    </row>
    <row r="40" ht="15.75" customHeight="1">
      <c r="A40" s="29"/>
      <c r="B40" s="20" t="s">
        <v>98</v>
      </c>
      <c r="C40" s="23"/>
      <c r="D40" s="23"/>
      <c r="E40" s="23"/>
      <c r="F40" s="20">
        <v>600.0</v>
      </c>
    </row>
    <row r="41" ht="15.75" customHeight="1">
      <c r="A41" s="29"/>
      <c r="B41" s="20" t="s">
        <v>163</v>
      </c>
      <c r="C41" s="23"/>
      <c r="D41" s="23"/>
      <c r="E41" s="23"/>
      <c r="F41" s="23"/>
    </row>
    <row r="42" ht="15.75" customHeight="1">
      <c r="A42" s="19" t="s">
        <v>136</v>
      </c>
      <c r="B42" s="20" t="s">
        <v>83</v>
      </c>
      <c r="C42" s="20" t="s">
        <v>31</v>
      </c>
      <c r="D42" s="23"/>
      <c r="E42" s="26">
        <v>15000.0</v>
      </c>
      <c r="F42" s="23"/>
    </row>
    <row r="43" ht="15.75" customHeight="1">
      <c r="A43" s="29"/>
      <c r="B43" s="20" t="s">
        <v>98</v>
      </c>
      <c r="C43" s="23"/>
      <c r="D43" s="23"/>
      <c r="E43" s="23"/>
      <c r="F43" s="26">
        <v>15000.0</v>
      </c>
    </row>
    <row r="44" ht="15.75" customHeight="1">
      <c r="A44" s="29"/>
      <c r="B44" s="20" t="s">
        <v>168</v>
      </c>
      <c r="C44" s="23"/>
      <c r="D44" s="23"/>
      <c r="E44" s="23"/>
      <c r="F44" s="23"/>
    </row>
    <row r="45" ht="15.75" customHeight="1">
      <c r="A45" s="19" t="s">
        <v>132</v>
      </c>
      <c r="B45" s="20" t="s">
        <v>28</v>
      </c>
      <c r="C45" s="20" t="s">
        <v>31</v>
      </c>
      <c r="D45" s="23"/>
      <c r="E45" s="26">
        <v>1000.0</v>
      </c>
      <c r="F45" s="23"/>
    </row>
    <row r="46" ht="15.75" customHeight="1">
      <c r="A46" s="29"/>
      <c r="B46" s="20" t="s">
        <v>133</v>
      </c>
      <c r="C46" s="23"/>
      <c r="D46" s="23"/>
      <c r="E46" s="23"/>
      <c r="F46" s="26">
        <v>1000.0</v>
      </c>
    </row>
    <row r="47" ht="15.75" customHeight="1">
      <c r="A47" s="29"/>
      <c r="B47" s="20" t="s">
        <v>171</v>
      </c>
      <c r="C47" s="23"/>
      <c r="D47" s="23"/>
      <c r="E47" s="23"/>
      <c r="F47" s="23"/>
    </row>
    <row r="48" ht="15.75" customHeight="1">
      <c r="A48" s="19" t="s">
        <v>143</v>
      </c>
      <c r="B48" s="20" t="s">
        <v>117</v>
      </c>
      <c r="C48" s="20" t="s">
        <v>31</v>
      </c>
      <c r="D48" s="23"/>
      <c r="E48" s="26">
        <v>3000.0</v>
      </c>
      <c r="F48" s="23"/>
    </row>
    <row r="49" ht="15.75" customHeight="1">
      <c r="A49" s="29"/>
      <c r="B49" s="20" t="s">
        <v>98</v>
      </c>
      <c r="C49" s="23"/>
      <c r="D49" s="23"/>
      <c r="E49" s="23"/>
      <c r="F49" s="26">
        <v>3000.0</v>
      </c>
    </row>
    <row r="50" ht="15.75" customHeight="1">
      <c r="A50" s="29"/>
      <c r="B50" s="20" t="s">
        <v>174</v>
      </c>
      <c r="C50" s="23"/>
      <c r="D50" s="23"/>
      <c r="E50" s="23"/>
      <c r="F50" s="23"/>
    </row>
    <row r="51" ht="15.75" customHeight="1">
      <c r="A51" s="19" t="s">
        <v>176</v>
      </c>
      <c r="B51" s="20" t="s">
        <v>49</v>
      </c>
      <c r="C51" s="20" t="s">
        <v>31</v>
      </c>
      <c r="D51" s="23"/>
      <c r="E51" s="26">
        <v>40000.0</v>
      </c>
      <c r="F51" s="23"/>
    </row>
    <row r="52" ht="15.75" customHeight="1">
      <c r="A52" s="29"/>
      <c r="B52" s="20" t="s">
        <v>179</v>
      </c>
      <c r="C52" s="23"/>
      <c r="D52" s="23"/>
      <c r="E52" s="23"/>
      <c r="F52" s="26">
        <v>40000.0</v>
      </c>
    </row>
    <row r="53" ht="15.75" customHeight="1">
      <c r="A53" s="29"/>
      <c r="B53" s="20" t="s">
        <v>181</v>
      </c>
      <c r="C53" s="23"/>
      <c r="D53" s="23"/>
      <c r="E53" s="23"/>
      <c r="F53" s="23"/>
    </row>
    <row r="54" ht="15.75" customHeight="1">
      <c r="A54" s="19" t="s">
        <v>183</v>
      </c>
      <c r="B54" s="20" t="s">
        <v>124</v>
      </c>
      <c r="C54" s="20" t="s">
        <v>31</v>
      </c>
      <c r="D54" s="23"/>
      <c r="E54" s="26">
        <v>3500.0</v>
      </c>
      <c r="F54" s="23"/>
    </row>
    <row r="55" ht="15.75" customHeight="1">
      <c r="A55" s="29"/>
      <c r="B55" s="20" t="s">
        <v>73</v>
      </c>
      <c r="C55" s="23"/>
      <c r="D55" s="23"/>
      <c r="E55" s="23"/>
      <c r="F55" s="26">
        <v>3500.0</v>
      </c>
    </row>
    <row r="56" ht="15.75" customHeight="1">
      <c r="A56" s="29"/>
      <c r="B56" s="20" t="s">
        <v>185</v>
      </c>
      <c r="C56" s="23"/>
      <c r="D56" s="23"/>
      <c r="E56" s="23"/>
      <c r="F56" s="23"/>
    </row>
    <row r="57" ht="15.75" customHeight="1">
      <c r="A57" s="19" t="s">
        <v>186</v>
      </c>
      <c r="B57" s="20" t="s">
        <v>126</v>
      </c>
      <c r="C57" s="20" t="s">
        <v>31</v>
      </c>
      <c r="D57" s="23"/>
      <c r="E57" s="26">
        <v>45000.0</v>
      </c>
      <c r="F57" s="23"/>
    </row>
    <row r="58" ht="15.75" customHeight="1">
      <c r="A58" s="29"/>
      <c r="B58" s="20" t="s">
        <v>106</v>
      </c>
      <c r="C58" s="23"/>
      <c r="D58" s="23"/>
      <c r="E58" s="23"/>
      <c r="F58" s="26">
        <v>45000.0</v>
      </c>
    </row>
    <row r="59" ht="15.75" customHeight="1">
      <c r="A59" s="29"/>
      <c r="B59" s="20" t="s">
        <v>187</v>
      </c>
      <c r="C59" s="23"/>
      <c r="D59" s="23"/>
      <c r="E59" s="23"/>
      <c r="F59" s="23"/>
    </row>
    <row r="60" ht="15.75" customHeight="1">
      <c r="A60" s="19" t="s">
        <v>189</v>
      </c>
      <c r="B60" s="20" t="s">
        <v>49</v>
      </c>
      <c r="C60" s="20" t="s">
        <v>31</v>
      </c>
      <c r="D60" s="23"/>
      <c r="E60" s="26">
        <v>45000.0</v>
      </c>
      <c r="F60" s="23"/>
    </row>
    <row r="61" ht="15.75" customHeight="1">
      <c r="A61" s="29"/>
      <c r="B61" s="20" t="s">
        <v>190</v>
      </c>
      <c r="C61" s="23"/>
      <c r="D61" s="23"/>
      <c r="E61" s="23"/>
      <c r="F61" s="26">
        <v>45000.0</v>
      </c>
    </row>
    <row r="62" ht="15.75" customHeight="1">
      <c r="A62" s="29"/>
      <c r="B62" s="20" t="s">
        <v>191</v>
      </c>
      <c r="C62" s="23"/>
      <c r="D62" s="23"/>
      <c r="E62" s="23"/>
      <c r="F62" s="23"/>
    </row>
    <row r="63" ht="15.75" customHeight="1">
      <c r="A63" s="19" t="s">
        <v>192</v>
      </c>
      <c r="B63" s="20" t="s">
        <v>130</v>
      </c>
      <c r="C63" s="20" t="s">
        <v>31</v>
      </c>
      <c r="D63" s="23"/>
      <c r="E63" s="26">
        <v>2400.0</v>
      </c>
      <c r="F63" s="23"/>
    </row>
    <row r="64" ht="15.75" customHeight="1">
      <c r="A64" s="29"/>
      <c r="B64" s="20" t="s">
        <v>73</v>
      </c>
      <c r="C64" s="23"/>
      <c r="D64" s="23"/>
      <c r="E64" s="23"/>
      <c r="F64" s="26">
        <v>2400.0</v>
      </c>
    </row>
    <row r="65" ht="15.75" customHeight="1">
      <c r="A65" s="29"/>
      <c r="B65" s="20" t="s">
        <v>195</v>
      </c>
      <c r="C65" s="23"/>
      <c r="D65" s="23"/>
      <c r="E65" s="23"/>
      <c r="F65" s="23"/>
    </row>
    <row r="66" ht="15.75" customHeight="1">
      <c r="A66" s="19" t="s">
        <v>197</v>
      </c>
      <c r="B66" s="20" t="s">
        <v>135</v>
      </c>
      <c r="C66" s="20" t="s">
        <v>31</v>
      </c>
      <c r="D66" s="23"/>
      <c r="E66" s="26">
        <v>8500.0</v>
      </c>
      <c r="F66" s="23"/>
    </row>
    <row r="67" ht="15.75" customHeight="1">
      <c r="A67" s="29"/>
      <c r="B67" s="20" t="s">
        <v>199</v>
      </c>
      <c r="C67" s="23"/>
      <c r="D67" s="23"/>
      <c r="E67" s="23"/>
      <c r="F67" s="26">
        <v>8500.0</v>
      </c>
    </row>
    <row r="68" ht="15.75" customHeight="1">
      <c r="A68" s="29"/>
      <c r="B68" s="20" t="s">
        <v>201</v>
      </c>
      <c r="C68" s="23"/>
      <c r="D68" s="23"/>
      <c r="E68" s="23"/>
      <c r="F68" s="23"/>
    </row>
    <row r="69" ht="15.75" customHeight="1">
      <c r="A69" s="19" t="s">
        <v>202</v>
      </c>
      <c r="B69" s="20" t="s">
        <v>140</v>
      </c>
      <c r="C69" s="20" t="s">
        <v>31</v>
      </c>
      <c r="D69" s="23"/>
      <c r="E69" s="26">
        <v>14000.0</v>
      </c>
      <c r="F69" s="23"/>
    </row>
    <row r="70" ht="15.75" customHeight="1">
      <c r="A70" s="29"/>
      <c r="B70" s="20" t="s">
        <v>73</v>
      </c>
      <c r="C70" s="23"/>
      <c r="D70" s="23"/>
      <c r="E70" s="23"/>
      <c r="F70" s="26">
        <v>14000.0</v>
      </c>
    </row>
    <row r="71" ht="15.75" customHeight="1">
      <c r="A71" s="29"/>
      <c r="B71" s="20" t="s">
        <v>205</v>
      </c>
      <c r="C71" s="23"/>
      <c r="D71" s="23"/>
      <c r="E71" s="23"/>
      <c r="F71" s="23"/>
    </row>
    <row r="72" ht="15.75" customHeight="1">
      <c r="A72" s="19" t="s">
        <v>141</v>
      </c>
      <c r="B72" s="20" t="s">
        <v>28</v>
      </c>
      <c r="C72" s="20" t="s">
        <v>31</v>
      </c>
      <c r="D72" s="23"/>
      <c r="E72" s="26">
        <v>22000.0</v>
      </c>
      <c r="F72" s="23"/>
    </row>
    <row r="73" ht="15.75" customHeight="1">
      <c r="A73" s="29"/>
      <c r="B73" s="20" t="s">
        <v>106</v>
      </c>
      <c r="C73" s="23"/>
      <c r="D73" s="23"/>
      <c r="E73" s="23"/>
      <c r="F73" s="26">
        <v>22000.0</v>
      </c>
    </row>
    <row r="74" ht="15.75" customHeight="1">
      <c r="A74" s="29"/>
      <c r="B74" s="20" t="s">
        <v>107</v>
      </c>
      <c r="C74" s="23"/>
      <c r="D74" s="23"/>
      <c r="E74" s="23"/>
      <c r="F74" s="23"/>
    </row>
    <row r="75" ht="15.75" customHeight="1">
      <c r="A75" s="19" t="s">
        <v>152</v>
      </c>
      <c r="B75" s="20" t="s">
        <v>144</v>
      </c>
      <c r="C75" s="20" t="s">
        <v>31</v>
      </c>
      <c r="D75" s="23"/>
      <c r="E75" s="20">
        <v>400.0</v>
      </c>
      <c r="F75" s="23"/>
    </row>
    <row r="76" ht="15.75" customHeight="1">
      <c r="A76" s="29"/>
      <c r="B76" s="20" t="s">
        <v>98</v>
      </c>
      <c r="C76" s="23"/>
      <c r="D76" s="23"/>
      <c r="E76" s="23"/>
      <c r="F76" s="20">
        <v>400.0</v>
      </c>
    </row>
    <row r="77" ht="15.75" customHeight="1">
      <c r="A77" s="29"/>
      <c r="B77" s="20" t="s">
        <v>220</v>
      </c>
      <c r="C77" s="23"/>
      <c r="D77" s="23"/>
      <c r="E77" s="23"/>
      <c r="F77" s="23"/>
    </row>
    <row r="78" ht="15.75" customHeight="1">
      <c r="A78" s="19" t="s">
        <v>149</v>
      </c>
      <c r="B78" s="20" t="s">
        <v>28</v>
      </c>
      <c r="C78" s="20" t="s">
        <v>31</v>
      </c>
      <c r="D78" s="23"/>
      <c r="E78" s="26">
        <v>1200.0</v>
      </c>
      <c r="F78" s="23"/>
    </row>
    <row r="79" ht="15.75" customHeight="1">
      <c r="A79" s="29"/>
      <c r="B79" s="20" t="s">
        <v>150</v>
      </c>
      <c r="C79" s="23"/>
      <c r="D79" s="23"/>
      <c r="E79" s="23"/>
      <c r="F79" s="26">
        <v>1200.0</v>
      </c>
    </row>
    <row r="80" ht="15.75" customHeight="1">
      <c r="A80" s="29"/>
      <c r="B80" s="20" t="s">
        <v>225</v>
      </c>
      <c r="C80" s="23"/>
      <c r="D80" s="23"/>
      <c r="E80" s="23"/>
      <c r="F80" s="23"/>
    </row>
    <row r="81" ht="15.75" customHeight="1">
      <c r="A81" s="19" t="s">
        <v>208</v>
      </c>
      <c r="B81" s="20" t="s">
        <v>151</v>
      </c>
      <c r="C81" s="20" t="s">
        <v>31</v>
      </c>
      <c r="D81" s="23"/>
      <c r="E81" s="26">
        <v>30000.0</v>
      </c>
      <c r="F81" s="23"/>
    </row>
    <row r="82" ht="15.75" customHeight="1">
      <c r="A82" s="29"/>
      <c r="B82" s="20" t="s">
        <v>73</v>
      </c>
      <c r="C82" s="23"/>
      <c r="D82" s="23"/>
      <c r="E82" s="23"/>
      <c r="F82" s="26">
        <v>30000.0</v>
      </c>
    </row>
    <row r="83" ht="15.75" customHeight="1">
      <c r="A83" s="29"/>
      <c r="B83" s="20" t="s">
        <v>228</v>
      </c>
      <c r="C83" s="23"/>
      <c r="D83" s="23"/>
      <c r="E83" s="23"/>
      <c r="F83" s="23"/>
    </row>
    <row r="84" ht="15.75" customHeight="1">
      <c r="A84" s="19" t="s">
        <v>214</v>
      </c>
      <c r="B84" s="20" t="s">
        <v>229</v>
      </c>
      <c r="C84" s="20" t="s">
        <v>31</v>
      </c>
      <c r="D84" s="23"/>
      <c r="E84" s="26">
        <v>5000.0</v>
      </c>
      <c r="F84" s="23"/>
    </row>
    <row r="85" ht="15.75" customHeight="1">
      <c r="A85" s="29"/>
      <c r="B85" s="20" t="s">
        <v>73</v>
      </c>
      <c r="C85" s="23"/>
      <c r="D85" s="23"/>
      <c r="E85" s="23"/>
      <c r="F85" s="26">
        <v>5000.0</v>
      </c>
    </row>
    <row r="86" ht="15.75" customHeight="1">
      <c r="A86" s="29"/>
      <c r="B86" s="20" t="s">
        <v>230</v>
      </c>
      <c r="C86" s="23"/>
      <c r="D86" s="23"/>
      <c r="E86" s="23"/>
      <c r="F86" s="23"/>
    </row>
    <row r="87" ht="15.75" customHeight="1">
      <c r="A87" s="19" t="s">
        <v>159</v>
      </c>
      <c r="B87" s="20" t="s">
        <v>155</v>
      </c>
      <c r="C87" s="20" t="s">
        <v>31</v>
      </c>
      <c r="D87" s="23"/>
      <c r="E87" s="26">
        <v>2000.0</v>
      </c>
      <c r="F87" s="23"/>
    </row>
    <row r="88" ht="15.75" customHeight="1">
      <c r="A88" s="29"/>
      <c r="B88" s="20" t="s">
        <v>73</v>
      </c>
      <c r="C88" s="23"/>
      <c r="D88" s="23"/>
      <c r="E88" s="23"/>
      <c r="F88" s="26">
        <v>2000.0</v>
      </c>
    </row>
    <row r="89" ht="15.75" customHeight="1">
      <c r="A89" s="29"/>
      <c r="B89" s="20" t="s">
        <v>231</v>
      </c>
      <c r="C89" s="23"/>
      <c r="D89" s="23"/>
      <c r="E89" s="23"/>
      <c r="F89" s="23"/>
    </row>
    <row r="90" ht="15.75" customHeight="1">
      <c r="A90" s="19" t="s">
        <v>159</v>
      </c>
      <c r="B90" s="20" t="s">
        <v>112</v>
      </c>
      <c r="C90" s="20" t="s">
        <v>31</v>
      </c>
      <c r="D90" s="23"/>
      <c r="E90" s="26">
        <v>2000.0</v>
      </c>
      <c r="F90" s="23"/>
    </row>
    <row r="91" ht="15.75" customHeight="1">
      <c r="A91" s="29"/>
      <c r="B91" s="20" t="s">
        <v>98</v>
      </c>
      <c r="C91" s="23"/>
      <c r="D91" s="23"/>
      <c r="E91" s="23"/>
      <c r="F91" s="26">
        <v>2000.0</v>
      </c>
    </row>
    <row r="92" ht="15.75" customHeight="1">
      <c r="A92" s="29"/>
      <c r="B92" s="20" t="s">
        <v>234</v>
      </c>
      <c r="C92" s="23"/>
      <c r="D92" s="23"/>
      <c r="E92" s="23"/>
      <c r="F92" s="23"/>
    </row>
    <row r="93" ht="15.75" customHeight="1">
      <c r="A93" s="19" t="s">
        <v>223</v>
      </c>
      <c r="B93" s="20" t="s">
        <v>229</v>
      </c>
      <c r="C93" s="20" t="s">
        <v>31</v>
      </c>
      <c r="D93" s="23"/>
      <c r="E93" s="26">
        <v>3000.0</v>
      </c>
      <c r="F93" s="23"/>
    </row>
    <row r="94" ht="15.75" customHeight="1">
      <c r="A94" s="29"/>
      <c r="B94" s="20" t="s">
        <v>73</v>
      </c>
      <c r="C94" s="23"/>
      <c r="D94" s="23"/>
      <c r="E94" s="23"/>
      <c r="F94" s="26">
        <v>3000.0</v>
      </c>
    </row>
    <row r="95" ht="15.75" customHeight="1">
      <c r="A95" s="29"/>
      <c r="B95" s="20" t="s">
        <v>230</v>
      </c>
      <c r="C95" s="23"/>
      <c r="D95" s="23"/>
      <c r="E95" s="23"/>
      <c r="F95" s="23"/>
    </row>
    <row r="96" ht="15.75" customHeight="1">
      <c r="A96" s="19" t="s">
        <v>193</v>
      </c>
      <c r="B96" s="20" t="s">
        <v>49</v>
      </c>
      <c r="C96" s="20" t="s">
        <v>31</v>
      </c>
      <c r="D96" s="23"/>
      <c r="E96" s="26">
        <v>3000.0</v>
      </c>
      <c r="F96" s="23"/>
    </row>
    <row r="97" ht="15.75" customHeight="1">
      <c r="A97" s="29"/>
      <c r="B97" s="20" t="s">
        <v>194</v>
      </c>
      <c r="C97" s="23"/>
      <c r="D97" s="23"/>
      <c r="E97" s="23"/>
      <c r="F97" s="26">
        <v>3000.0</v>
      </c>
    </row>
    <row r="98" ht="15.75" customHeight="1">
      <c r="A98" s="29"/>
      <c r="B98" s="20" t="s">
        <v>239</v>
      </c>
      <c r="C98" s="23"/>
      <c r="D98" s="23"/>
      <c r="E98" s="23"/>
      <c r="F98" s="23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35.43"/>
    <col customWidth="1" min="3" max="3" width="5.14"/>
    <col customWidth="1" min="4" max="4" width="13.0"/>
    <col customWidth="1" min="5" max="5" width="13.71"/>
    <col customWidth="1" min="6" max="6" width="34.43"/>
    <col customWidth="1" min="7" max="7" width="5.14"/>
    <col customWidth="1" min="8" max="8" width="13.0"/>
    <col customWidth="1" min="9" max="26" width="8.71"/>
  </cols>
  <sheetData>
    <row r="1">
      <c r="A1" s="1" t="s">
        <v>0</v>
      </c>
      <c r="B1" s="3"/>
      <c r="C1" s="3"/>
      <c r="D1" s="3"/>
      <c r="E1" s="3"/>
      <c r="F1" s="3"/>
      <c r="G1" s="3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2"/>
      <c r="B2" s="14"/>
      <c r="C2" s="14"/>
      <c r="D2" s="14"/>
      <c r="E2" s="14"/>
      <c r="F2" s="14"/>
      <c r="G2" s="14"/>
      <c r="H2" s="17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22" t="s">
        <v>31</v>
      </c>
      <c r="B3" s="25" t="s">
        <v>36</v>
      </c>
      <c r="C3" s="27"/>
      <c r="D3" s="27"/>
      <c r="E3" s="27"/>
      <c r="F3" s="27"/>
      <c r="G3" s="28"/>
      <c r="H3" s="30" t="s">
        <v>48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2" t="s">
        <v>14</v>
      </c>
      <c r="B4" s="33" t="s">
        <v>15</v>
      </c>
      <c r="C4" s="33" t="s">
        <v>58</v>
      </c>
      <c r="D4" s="33" t="s">
        <v>62</v>
      </c>
      <c r="E4" s="33" t="s">
        <v>14</v>
      </c>
      <c r="F4" s="33" t="s">
        <v>15</v>
      </c>
      <c r="G4" s="33" t="s">
        <v>58</v>
      </c>
      <c r="H4" s="33" t="s">
        <v>62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9" t="s">
        <v>75</v>
      </c>
      <c r="B5" s="20" t="s">
        <v>76</v>
      </c>
      <c r="C5" s="23"/>
      <c r="D5" s="26">
        <v>150000.0</v>
      </c>
      <c r="E5" s="20" t="s">
        <v>25</v>
      </c>
      <c r="F5" s="20" t="s">
        <v>80</v>
      </c>
      <c r="G5" s="23"/>
      <c r="H5" s="26">
        <v>50000.0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9"/>
      <c r="B6" s="23"/>
      <c r="C6" s="23"/>
      <c r="D6" s="23"/>
      <c r="E6" s="20" t="s">
        <v>25</v>
      </c>
      <c r="F6" s="20" t="s">
        <v>91</v>
      </c>
      <c r="G6" s="23"/>
      <c r="H6" s="26">
        <v>100000.0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9"/>
      <c r="B7" s="23"/>
      <c r="C7" s="23"/>
      <c r="D7" s="23"/>
      <c r="E7" s="23"/>
      <c r="F7" s="23"/>
      <c r="G7" s="23"/>
      <c r="H7" s="23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9"/>
      <c r="B8" s="23"/>
      <c r="C8" s="23"/>
      <c r="D8" s="34">
        <v>150000.0</v>
      </c>
      <c r="E8" s="23"/>
      <c r="F8" s="23"/>
      <c r="G8" s="23"/>
      <c r="H8" s="34">
        <v>150000.0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6"/>
      <c r="B9" s="11"/>
      <c r="C9" s="11"/>
      <c r="D9" s="11"/>
      <c r="E9" s="37" t="s">
        <v>103</v>
      </c>
      <c r="F9" s="37" t="s">
        <v>104</v>
      </c>
      <c r="G9" s="11"/>
      <c r="H9" s="38">
        <v>150000.0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2"/>
      <c r="B10" s="14"/>
      <c r="C10" s="14"/>
      <c r="D10" s="14"/>
      <c r="E10" s="14"/>
      <c r="F10" s="14"/>
      <c r="G10" s="14"/>
      <c r="H10" s="17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22" t="s">
        <v>31</v>
      </c>
      <c r="B11" s="25" t="s">
        <v>111</v>
      </c>
      <c r="C11" s="27"/>
      <c r="D11" s="27"/>
      <c r="E11" s="27"/>
      <c r="F11" s="27"/>
      <c r="G11" s="28"/>
      <c r="H11" s="30" t="s">
        <v>48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2" t="s">
        <v>14</v>
      </c>
      <c r="B12" s="33" t="s">
        <v>15</v>
      </c>
      <c r="C12" s="33" t="s">
        <v>58</v>
      </c>
      <c r="D12" s="33" t="s">
        <v>62</v>
      </c>
      <c r="E12" s="33" t="s">
        <v>14</v>
      </c>
      <c r="F12" s="33" t="s">
        <v>15</v>
      </c>
      <c r="G12" s="33" t="s">
        <v>58</v>
      </c>
      <c r="H12" s="33" t="s">
        <v>62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9" t="s">
        <v>25</v>
      </c>
      <c r="B13" s="20" t="s">
        <v>53</v>
      </c>
      <c r="C13" s="23"/>
      <c r="D13" s="26">
        <v>50000.0</v>
      </c>
      <c r="E13" s="20" t="s">
        <v>95</v>
      </c>
      <c r="F13" s="20" t="s">
        <v>120</v>
      </c>
      <c r="G13" s="23"/>
      <c r="H13" s="20">
        <v>800.0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9" t="s">
        <v>101</v>
      </c>
      <c r="B14" s="20" t="s">
        <v>106</v>
      </c>
      <c r="C14" s="23"/>
      <c r="D14" s="26">
        <v>18000.0</v>
      </c>
      <c r="E14" s="20" t="s">
        <v>127</v>
      </c>
      <c r="F14" s="20" t="s">
        <v>128</v>
      </c>
      <c r="G14" s="23"/>
      <c r="H14" s="20">
        <v>600.0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9" t="s">
        <v>132</v>
      </c>
      <c r="B15" s="20" t="s">
        <v>133</v>
      </c>
      <c r="C15" s="23"/>
      <c r="D15" s="26">
        <v>1000.0</v>
      </c>
      <c r="E15" s="20" t="s">
        <v>136</v>
      </c>
      <c r="F15" s="20" t="s">
        <v>137</v>
      </c>
      <c r="G15" s="23"/>
      <c r="H15" s="26">
        <v>15000.0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9" t="s">
        <v>141</v>
      </c>
      <c r="B16" s="20" t="s">
        <v>106</v>
      </c>
      <c r="C16" s="23"/>
      <c r="D16" s="26">
        <v>22000.0</v>
      </c>
      <c r="E16" s="20" t="s">
        <v>143</v>
      </c>
      <c r="F16" s="20" t="s">
        <v>145</v>
      </c>
      <c r="G16" s="23"/>
      <c r="H16" s="26">
        <v>3000.0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9" t="s">
        <v>149</v>
      </c>
      <c r="B17" s="39" t="s">
        <v>150</v>
      </c>
      <c r="C17" s="23"/>
      <c r="D17" s="26">
        <v>1200.0</v>
      </c>
      <c r="E17" s="20" t="s">
        <v>152</v>
      </c>
      <c r="F17" s="39" t="s">
        <v>153</v>
      </c>
      <c r="G17" s="23"/>
      <c r="H17" s="20">
        <v>400.0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9"/>
      <c r="B18" s="23"/>
      <c r="C18" s="23"/>
      <c r="D18" s="23"/>
      <c r="E18" s="20" t="s">
        <v>159</v>
      </c>
      <c r="F18" s="20" t="s">
        <v>160</v>
      </c>
      <c r="G18" s="23"/>
      <c r="H18" s="26">
        <v>2000.0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9"/>
      <c r="B19" s="23"/>
      <c r="C19" s="23"/>
      <c r="D19" s="23"/>
      <c r="E19" s="20" t="s">
        <v>75</v>
      </c>
      <c r="F19" s="20" t="s">
        <v>164</v>
      </c>
      <c r="G19" s="23"/>
      <c r="H19" s="26">
        <v>70400.0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9"/>
      <c r="B20" s="23"/>
      <c r="C20" s="23"/>
      <c r="D20" s="34">
        <v>92200.0</v>
      </c>
      <c r="E20" s="23"/>
      <c r="F20" s="23"/>
      <c r="G20" s="23"/>
      <c r="H20" s="34">
        <v>92200.0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51" t="s">
        <v>103</v>
      </c>
      <c r="B21" s="37" t="s">
        <v>170</v>
      </c>
      <c r="C21" s="11"/>
      <c r="D21" s="38">
        <v>70400.0</v>
      </c>
      <c r="E21" s="11"/>
      <c r="F21" s="11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2"/>
      <c r="B22" s="14"/>
      <c r="C22" s="14"/>
      <c r="D22" s="14"/>
      <c r="E22" s="14"/>
      <c r="F22" s="14"/>
      <c r="G22" s="14"/>
      <c r="H22" s="17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22" t="s">
        <v>31</v>
      </c>
      <c r="B23" s="25" t="s">
        <v>177</v>
      </c>
      <c r="C23" s="27"/>
      <c r="D23" s="27"/>
      <c r="E23" s="27"/>
      <c r="F23" s="27"/>
      <c r="G23" s="28"/>
      <c r="H23" s="30" t="s">
        <v>48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32" t="s">
        <v>14</v>
      </c>
      <c r="B24" s="33" t="s">
        <v>15</v>
      </c>
      <c r="C24" s="33" t="s">
        <v>58</v>
      </c>
      <c r="D24" s="33" t="s">
        <v>62</v>
      </c>
      <c r="E24" s="33" t="s">
        <v>14</v>
      </c>
      <c r="F24" s="33" t="s">
        <v>15</v>
      </c>
      <c r="G24" s="33" t="s">
        <v>58</v>
      </c>
      <c r="H24" s="33" t="s">
        <v>62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9" t="s">
        <v>25</v>
      </c>
      <c r="B25" s="20" t="s">
        <v>53</v>
      </c>
      <c r="C25" s="23"/>
      <c r="D25" s="26">
        <v>100000.0</v>
      </c>
      <c r="E25" s="20" t="s">
        <v>66</v>
      </c>
      <c r="F25" s="20" t="s">
        <v>184</v>
      </c>
      <c r="G25" s="23"/>
      <c r="H25" s="26">
        <v>12000.0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9" t="s">
        <v>129</v>
      </c>
      <c r="B26" s="20" t="s">
        <v>131</v>
      </c>
      <c r="C26" s="23"/>
      <c r="D26" s="26">
        <v>20000.0</v>
      </c>
      <c r="E26" s="20" t="s">
        <v>114</v>
      </c>
      <c r="F26" s="20" t="s">
        <v>128</v>
      </c>
      <c r="G26" s="23"/>
      <c r="H26" s="26">
        <v>2000.0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9" t="s">
        <v>176</v>
      </c>
      <c r="B27" s="20" t="s">
        <v>179</v>
      </c>
      <c r="C27" s="23"/>
      <c r="D27" s="26">
        <v>40000.0</v>
      </c>
      <c r="E27" s="20" t="s">
        <v>121</v>
      </c>
      <c r="F27" s="20" t="s">
        <v>188</v>
      </c>
      <c r="G27" s="23"/>
      <c r="H27" s="26">
        <v>24500.0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9" t="s">
        <v>189</v>
      </c>
      <c r="B28" s="20" t="s">
        <v>190</v>
      </c>
      <c r="C28" s="23"/>
      <c r="D28" s="26">
        <v>45000.0</v>
      </c>
      <c r="E28" s="20" t="s">
        <v>146</v>
      </c>
      <c r="F28" s="20" t="s">
        <v>160</v>
      </c>
      <c r="G28" s="23"/>
      <c r="H28" s="26">
        <v>4000.0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9" t="s">
        <v>193</v>
      </c>
      <c r="B29" s="20" t="s">
        <v>194</v>
      </c>
      <c r="C29" s="23"/>
      <c r="D29" s="26">
        <v>3000.0</v>
      </c>
      <c r="E29" s="20" t="s">
        <v>183</v>
      </c>
      <c r="F29" s="20" t="s">
        <v>196</v>
      </c>
      <c r="G29" s="23"/>
      <c r="H29" s="26">
        <v>3500.0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29"/>
      <c r="B30" s="23"/>
      <c r="C30" s="23"/>
      <c r="D30" s="23"/>
      <c r="E30" s="20" t="s">
        <v>192</v>
      </c>
      <c r="F30" s="20" t="s">
        <v>200</v>
      </c>
      <c r="G30" s="23"/>
      <c r="H30" s="26">
        <v>2400.0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29"/>
      <c r="B31" s="23"/>
      <c r="C31" s="23"/>
      <c r="D31" s="23"/>
      <c r="E31" s="20" t="s">
        <v>202</v>
      </c>
      <c r="F31" s="20" t="s">
        <v>203</v>
      </c>
      <c r="G31" s="23"/>
      <c r="H31" s="26">
        <v>14000.0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29"/>
      <c r="B32" s="23"/>
      <c r="C32" s="23"/>
      <c r="D32" s="23"/>
      <c r="E32" s="20" t="s">
        <v>208</v>
      </c>
      <c r="F32" s="20" t="s">
        <v>209</v>
      </c>
      <c r="G32" s="23"/>
      <c r="H32" s="26">
        <v>30000.0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29"/>
      <c r="B33" s="23"/>
      <c r="C33" s="23"/>
      <c r="D33" s="23"/>
      <c r="E33" s="20" t="s">
        <v>214</v>
      </c>
      <c r="F33" s="20" t="s">
        <v>215</v>
      </c>
      <c r="G33" s="23"/>
      <c r="H33" s="26">
        <v>5000.0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29"/>
      <c r="B34" s="23"/>
      <c r="C34" s="23"/>
      <c r="D34" s="23"/>
      <c r="E34" s="20" t="s">
        <v>159</v>
      </c>
      <c r="F34" s="20" t="s">
        <v>219</v>
      </c>
      <c r="G34" s="23"/>
      <c r="H34" s="26">
        <v>2000.0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29"/>
      <c r="B35" s="23"/>
      <c r="C35" s="23"/>
      <c r="D35" s="23"/>
      <c r="E35" s="20" t="s">
        <v>223</v>
      </c>
      <c r="F35" s="20" t="s">
        <v>215</v>
      </c>
      <c r="G35" s="23"/>
      <c r="H35" s="26">
        <v>3000.0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29"/>
      <c r="B36" s="23"/>
      <c r="C36" s="23"/>
      <c r="D36" s="23"/>
      <c r="E36" s="20" t="s">
        <v>75</v>
      </c>
      <c r="F36" s="20" t="s">
        <v>164</v>
      </c>
      <c r="G36" s="23"/>
      <c r="H36" s="26">
        <v>105600.0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29"/>
      <c r="B37" s="23"/>
      <c r="C37" s="23"/>
      <c r="D37" s="34">
        <v>208000.0</v>
      </c>
      <c r="E37" s="23"/>
      <c r="F37" s="23"/>
      <c r="G37" s="23"/>
      <c r="H37" s="34">
        <v>208000.0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51" t="s">
        <v>103</v>
      </c>
      <c r="B38" s="37" t="s">
        <v>170</v>
      </c>
      <c r="C38" s="11"/>
      <c r="D38" s="38">
        <v>105600.0</v>
      </c>
      <c r="E38" s="11"/>
      <c r="F38" s="11"/>
      <c r="G38" s="11"/>
      <c r="H38" s="1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2"/>
      <c r="B39" s="14"/>
      <c r="C39" s="14"/>
      <c r="D39" s="14"/>
      <c r="E39" s="14"/>
      <c r="F39" s="14"/>
      <c r="G39" s="14"/>
      <c r="H39" s="17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22" t="s">
        <v>31</v>
      </c>
      <c r="B40" s="25" t="s">
        <v>232</v>
      </c>
      <c r="C40" s="27"/>
      <c r="D40" s="27"/>
      <c r="E40" s="27"/>
      <c r="F40" s="27"/>
      <c r="G40" s="28"/>
      <c r="H40" s="30" t="s">
        <v>48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32" t="s">
        <v>14</v>
      </c>
      <c r="B41" s="33" t="s">
        <v>15</v>
      </c>
      <c r="C41" s="33" t="s">
        <v>58</v>
      </c>
      <c r="D41" s="33" t="s">
        <v>62</v>
      </c>
      <c r="E41" s="33" t="s">
        <v>14</v>
      </c>
      <c r="F41" s="33" t="s">
        <v>15</v>
      </c>
      <c r="G41" s="33" t="s">
        <v>58</v>
      </c>
      <c r="H41" s="33" t="s">
        <v>62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9" t="s">
        <v>66</v>
      </c>
      <c r="B42" s="20" t="s">
        <v>73</v>
      </c>
      <c r="C42" s="23"/>
      <c r="D42" s="26">
        <v>12000.0</v>
      </c>
      <c r="E42" s="20" t="s">
        <v>75</v>
      </c>
      <c r="F42" s="20" t="s">
        <v>164</v>
      </c>
      <c r="G42" s="23"/>
      <c r="H42" s="26">
        <v>12000.0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29"/>
      <c r="B43" s="23"/>
      <c r="C43" s="23"/>
      <c r="D43" s="23"/>
      <c r="E43" s="23"/>
      <c r="F43" s="23"/>
      <c r="G43" s="23"/>
      <c r="H43" s="23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29"/>
      <c r="B44" s="23"/>
      <c r="C44" s="23"/>
      <c r="D44" s="34">
        <v>12000.0</v>
      </c>
      <c r="E44" s="23"/>
      <c r="F44" s="23"/>
      <c r="G44" s="23"/>
      <c r="H44" s="34">
        <v>12000.0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51" t="s">
        <v>103</v>
      </c>
      <c r="B45" s="37" t="s">
        <v>170</v>
      </c>
      <c r="C45" s="11"/>
      <c r="D45" s="38">
        <v>12000.0</v>
      </c>
      <c r="E45" s="11"/>
      <c r="F45" s="11"/>
      <c r="G45" s="11"/>
      <c r="H45" s="11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2"/>
      <c r="B46" s="14"/>
      <c r="C46" s="14"/>
      <c r="D46" s="14"/>
      <c r="E46" s="14"/>
      <c r="F46" s="14"/>
      <c r="G46" s="14"/>
      <c r="H46" s="17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22" t="s">
        <v>31</v>
      </c>
      <c r="B47" s="25" t="s">
        <v>243</v>
      </c>
      <c r="C47" s="27"/>
      <c r="D47" s="27"/>
      <c r="E47" s="27"/>
      <c r="F47" s="27"/>
      <c r="G47" s="28"/>
      <c r="H47" s="30" t="s">
        <v>48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32" t="s">
        <v>14</v>
      </c>
      <c r="B48" s="33" t="s">
        <v>15</v>
      </c>
      <c r="C48" s="33" t="s">
        <v>58</v>
      </c>
      <c r="D48" s="33" t="s">
        <v>62</v>
      </c>
      <c r="E48" s="33" t="s">
        <v>14</v>
      </c>
      <c r="F48" s="33" t="s">
        <v>15</v>
      </c>
      <c r="G48" s="33" t="s">
        <v>58</v>
      </c>
      <c r="H48" s="33" t="s">
        <v>62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9" t="s">
        <v>84</v>
      </c>
      <c r="B49" s="20" t="s">
        <v>88</v>
      </c>
      <c r="C49" s="23"/>
      <c r="D49" s="26">
        <v>25000.0</v>
      </c>
      <c r="E49" s="20" t="s">
        <v>75</v>
      </c>
      <c r="F49" s="20" t="s">
        <v>164</v>
      </c>
      <c r="G49" s="23"/>
      <c r="H49" s="26">
        <v>40000.0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9" t="s">
        <v>136</v>
      </c>
      <c r="B50" s="20" t="s">
        <v>98</v>
      </c>
      <c r="C50" s="23"/>
      <c r="D50" s="26">
        <v>15000.0</v>
      </c>
      <c r="E50" s="23"/>
      <c r="F50" s="23"/>
      <c r="G50" s="23"/>
      <c r="H50" s="23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29"/>
      <c r="B51" s="23"/>
      <c r="C51" s="23"/>
      <c r="D51" s="23"/>
      <c r="E51" s="23"/>
      <c r="F51" s="23"/>
      <c r="G51" s="23"/>
      <c r="H51" s="23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29"/>
      <c r="B52" s="23"/>
      <c r="C52" s="23"/>
      <c r="D52" s="34">
        <v>40000.0</v>
      </c>
      <c r="E52" s="23"/>
      <c r="F52" s="23"/>
      <c r="G52" s="23"/>
      <c r="H52" s="34">
        <v>40000.0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51" t="s">
        <v>103</v>
      </c>
      <c r="B53" s="37" t="s">
        <v>170</v>
      </c>
      <c r="C53" s="11"/>
      <c r="D53" s="38">
        <v>40000.0</v>
      </c>
      <c r="E53" s="11"/>
      <c r="F53" s="11"/>
      <c r="G53" s="11"/>
      <c r="H53" s="11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2"/>
      <c r="B54" s="14"/>
      <c r="C54" s="14"/>
      <c r="D54" s="14"/>
      <c r="E54" s="14"/>
      <c r="F54" s="14"/>
      <c r="G54" s="14"/>
      <c r="H54" s="17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22" t="s">
        <v>31</v>
      </c>
      <c r="B55" s="25" t="s">
        <v>257</v>
      </c>
      <c r="C55" s="27"/>
      <c r="D55" s="27"/>
      <c r="E55" s="27"/>
      <c r="F55" s="27"/>
      <c r="G55" s="28"/>
      <c r="H55" s="30" t="s">
        <v>48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32" t="s">
        <v>14</v>
      </c>
      <c r="B56" s="33" t="s">
        <v>15</v>
      </c>
      <c r="C56" s="33" t="s">
        <v>58</v>
      </c>
      <c r="D56" s="33" t="s">
        <v>62</v>
      </c>
      <c r="E56" s="33" t="s">
        <v>14</v>
      </c>
      <c r="F56" s="33" t="s">
        <v>15</v>
      </c>
      <c r="G56" s="33" t="s">
        <v>58</v>
      </c>
      <c r="H56" s="33" t="s">
        <v>62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19" t="s">
        <v>121</v>
      </c>
      <c r="B57" s="20" t="s">
        <v>123</v>
      </c>
      <c r="C57" s="23"/>
      <c r="D57" s="20">
        <v>500.0</v>
      </c>
      <c r="E57" s="20" t="s">
        <v>84</v>
      </c>
      <c r="F57" s="20" t="s">
        <v>137</v>
      </c>
      <c r="G57" s="23"/>
      <c r="H57" s="26">
        <v>25000.0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19" t="s">
        <v>121</v>
      </c>
      <c r="B58" s="20" t="s">
        <v>73</v>
      </c>
      <c r="C58" s="23"/>
      <c r="D58" s="26">
        <v>24500.0</v>
      </c>
      <c r="E58" s="23"/>
      <c r="F58" s="23"/>
      <c r="G58" s="23"/>
      <c r="H58" s="23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29"/>
      <c r="B59" s="23"/>
      <c r="C59" s="23"/>
      <c r="D59" s="23"/>
      <c r="E59" s="23"/>
      <c r="F59" s="23"/>
      <c r="G59" s="23"/>
      <c r="H59" s="23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36"/>
      <c r="B60" s="11"/>
      <c r="C60" s="11"/>
      <c r="D60" s="84">
        <v>25000.0</v>
      </c>
      <c r="E60" s="11"/>
      <c r="F60" s="11"/>
      <c r="G60" s="11"/>
      <c r="H60" s="84">
        <v>25000.0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12"/>
      <c r="B61" s="14"/>
      <c r="C61" s="14"/>
      <c r="D61" s="14"/>
      <c r="E61" s="14"/>
      <c r="F61" s="14"/>
      <c r="G61" s="14"/>
      <c r="H61" s="17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22" t="s">
        <v>31</v>
      </c>
      <c r="B62" s="25" t="s">
        <v>271</v>
      </c>
      <c r="C62" s="27"/>
      <c r="D62" s="27"/>
      <c r="E62" s="27"/>
      <c r="F62" s="27"/>
      <c r="G62" s="28"/>
      <c r="H62" s="30" t="s">
        <v>48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32" t="s">
        <v>14</v>
      </c>
      <c r="B63" s="33" t="s">
        <v>15</v>
      </c>
      <c r="C63" s="33" t="s">
        <v>58</v>
      </c>
      <c r="D63" s="33" t="s">
        <v>62</v>
      </c>
      <c r="E63" s="33" t="s">
        <v>14</v>
      </c>
      <c r="F63" s="33" t="s">
        <v>15</v>
      </c>
      <c r="G63" s="33" t="s">
        <v>58</v>
      </c>
      <c r="H63" s="33" t="s">
        <v>62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19" t="s">
        <v>95</v>
      </c>
      <c r="B64" s="20" t="s">
        <v>98</v>
      </c>
      <c r="C64" s="23"/>
      <c r="D64" s="20">
        <v>800.0</v>
      </c>
      <c r="E64" s="20" t="s">
        <v>75</v>
      </c>
      <c r="F64" s="20" t="s">
        <v>164</v>
      </c>
      <c r="G64" s="23"/>
      <c r="H64" s="20">
        <v>800.0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29"/>
      <c r="B65" s="23"/>
      <c r="C65" s="23"/>
      <c r="D65" s="23"/>
      <c r="E65" s="23"/>
      <c r="F65" s="23"/>
      <c r="G65" s="23"/>
      <c r="H65" s="23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29"/>
      <c r="B66" s="23"/>
      <c r="C66" s="23"/>
      <c r="D66" s="88">
        <v>800.0</v>
      </c>
      <c r="E66" s="23"/>
      <c r="F66" s="23"/>
      <c r="G66" s="23"/>
      <c r="H66" s="88">
        <v>800.0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51" t="s">
        <v>103</v>
      </c>
      <c r="B67" s="37" t="s">
        <v>170</v>
      </c>
      <c r="C67" s="11"/>
      <c r="D67" s="37">
        <v>800.0</v>
      </c>
      <c r="E67" s="11"/>
      <c r="F67" s="11"/>
      <c r="G67" s="11"/>
      <c r="H67" s="11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12"/>
      <c r="B68" s="14"/>
      <c r="C68" s="14"/>
      <c r="D68" s="14"/>
      <c r="E68" s="14"/>
      <c r="F68" s="14"/>
      <c r="G68" s="14"/>
      <c r="H68" s="17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22" t="s">
        <v>31</v>
      </c>
      <c r="B69" s="25" t="s">
        <v>291</v>
      </c>
      <c r="C69" s="27"/>
      <c r="D69" s="27"/>
      <c r="E69" s="27"/>
      <c r="F69" s="27"/>
      <c r="G69" s="28"/>
      <c r="H69" s="30" t="s">
        <v>48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32" t="s">
        <v>14</v>
      </c>
      <c r="B70" s="33" t="s">
        <v>15</v>
      </c>
      <c r="C70" s="33" t="s">
        <v>58</v>
      </c>
      <c r="D70" s="33" t="s">
        <v>62</v>
      </c>
      <c r="E70" s="33" t="s">
        <v>14</v>
      </c>
      <c r="F70" s="33" t="s">
        <v>15</v>
      </c>
      <c r="G70" s="33" t="s">
        <v>58</v>
      </c>
      <c r="H70" s="33" t="s">
        <v>62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19" t="s">
        <v>75</v>
      </c>
      <c r="B71" s="20" t="s">
        <v>76</v>
      </c>
      <c r="C71" s="23"/>
      <c r="D71" s="26">
        <v>117000.0</v>
      </c>
      <c r="E71" s="20" t="s">
        <v>101</v>
      </c>
      <c r="F71" s="20" t="s">
        <v>80</v>
      </c>
      <c r="G71" s="23"/>
      <c r="H71" s="26">
        <v>18000.0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29"/>
      <c r="B72" s="23"/>
      <c r="C72" s="23"/>
      <c r="D72" s="23"/>
      <c r="E72" s="20" t="s">
        <v>109</v>
      </c>
      <c r="F72" s="20" t="s">
        <v>302</v>
      </c>
      <c r="G72" s="23"/>
      <c r="H72" s="26">
        <v>32000.0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29"/>
      <c r="B73" s="23"/>
      <c r="C73" s="23"/>
      <c r="D73" s="23"/>
      <c r="E73" s="20" t="s">
        <v>186</v>
      </c>
      <c r="F73" s="20" t="s">
        <v>306</v>
      </c>
      <c r="G73" s="23"/>
      <c r="H73" s="26">
        <v>45000.0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29"/>
      <c r="B74" s="23"/>
      <c r="C74" s="23"/>
      <c r="D74" s="23"/>
      <c r="E74" s="20" t="s">
        <v>141</v>
      </c>
      <c r="F74" s="20" t="s">
        <v>80</v>
      </c>
      <c r="G74" s="23"/>
      <c r="H74" s="26">
        <v>22000.0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29"/>
      <c r="B75" s="23"/>
      <c r="C75" s="23"/>
      <c r="D75" s="23"/>
      <c r="E75" s="23"/>
      <c r="F75" s="23"/>
      <c r="G75" s="23"/>
      <c r="H75" s="23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29"/>
      <c r="B76" s="23"/>
      <c r="C76" s="23"/>
      <c r="D76" s="34">
        <v>117000.0</v>
      </c>
      <c r="E76" s="23"/>
      <c r="F76" s="23"/>
      <c r="G76" s="23"/>
      <c r="H76" s="34">
        <v>117000.0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36"/>
      <c r="B77" s="11"/>
      <c r="C77" s="11"/>
      <c r="D77" s="11"/>
      <c r="E77" s="37" t="s">
        <v>103</v>
      </c>
      <c r="F77" s="37" t="s">
        <v>104</v>
      </c>
      <c r="G77" s="11"/>
      <c r="H77" s="38">
        <v>117000.0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12"/>
      <c r="B78" s="14"/>
      <c r="C78" s="14"/>
      <c r="D78" s="14"/>
      <c r="E78" s="14"/>
      <c r="F78" s="14"/>
      <c r="G78" s="14"/>
      <c r="H78" s="17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22" t="s">
        <v>31</v>
      </c>
      <c r="B79" s="25" t="s">
        <v>319</v>
      </c>
      <c r="C79" s="27"/>
      <c r="D79" s="27"/>
      <c r="E79" s="27"/>
      <c r="F79" s="27"/>
      <c r="G79" s="28"/>
      <c r="H79" s="30" t="s">
        <v>48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32" t="s">
        <v>14</v>
      </c>
      <c r="B80" s="33" t="s">
        <v>15</v>
      </c>
      <c r="C80" s="33" t="s">
        <v>58</v>
      </c>
      <c r="D80" s="33" t="s">
        <v>62</v>
      </c>
      <c r="E80" s="33" t="s">
        <v>14</v>
      </c>
      <c r="F80" s="33" t="s">
        <v>15</v>
      </c>
      <c r="G80" s="33" t="s">
        <v>58</v>
      </c>
      <c r="H80" s="33" t="s">
        <v>62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19" t="s">
        <v>109</v>
      </c>
      <c r="B81" s="20" t="s">
        <v>106</v>
      </c>
      <c r="C81" s="23"/>
      <c r="D81" s="26">
        <v>32000.0</v>
      </c>
      <c r="E81" s="20" t="s">
        <v>129</v>
      </c>
      <c r="F81" s="20" t="s">
        <v>91</v>
      </c>
      <c r="G81" s="23"/>
      <c r="H81" s="26">
        <v>20000.0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29"/>
      <c r="B82" s="23"/>
      <c r="C82" s="23"/>
      <c r="D82" s="23"/>
      <c r="E82" s="20" t="s">
        <v>138</v>
      </c>
      <c r="F82" s="20" t="s">
        <v>327</v>
      </c>
      <c r="G82" s="23"/>
      <c r="H82" s="26">
        <v>1500.0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29"/>
      <c r="B83" s="23"/>
      <c r="C83" s="23"/>
      <c r="D83" s="23"/>
      <c r="E83" s="20" t="s">
        <v>75</v>
      </c>
      <c r="F83" s="20" t="s">
        <v>164</v>
      </c>
      <c r="G83" s="23"/>
      <c r="H83" s="26">
        <v>10500.0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29"/>
      <c r="B84" s="23"/>
      <c r="C84" s="23"/>
      <c r="D84" s="34">
        <v>32000.0</v>
      </c>
      <c r="E84" s="23"/>
      <c r="F84" s="23"/>
      <c r="G84" s="23"/>
      <c r="H84" s="34">
        <v>32000.0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51" t="s">
        <v>103</v>
      </c>
      <c r="B85" s="37" t="s">
        <v>170</v>
      </c>
      <c r="C85" s="11"/>
      <c r="D85" s="38">
        <v>10500.0</v>
      </c>
      <c r="E85" s="11"/>
      <c r="F85" s="11"/>
      <c r="G85" s="11"/>
      <c r="H85" s="11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12"/>
      <c r="B86" s="14"/>
      <c r="C86" s="14"/>
      <c r="D86" s="14"/>
      <c r="E86" s="14"/>
      <c r="F86" s="14"/>
      <c r="G86" s="14"/>
      <c r="H86" s="17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22" t="s">
        <v>31</v>
      </c>
      <c r="B87" s="25" t="s">
        <v>328</v>
      </c>
      <c r="C87" s="27"/>
      <c r="D87" s="27"/>
      <c r="E87" s="27"/>
      <c r="F87" s="27"/>
      <c r="G87" s="28"/>
      <c r="H87" s="30" t="s">
        <v>48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32" t="s">
        <v>14</v>
      </c>
      <c r="B88" s="33" t="s">
        <v>15</v>
      </c>
      <c r="C88" s="33" t="s">
        <v>58</v>
      </c>
      <c r="D88" s="33" t="s">
        <v>62</v>
      </c>
      <c r="E88" s="33" t="s">
        <v>14</v>
      </c>
      <c r="F88" s="33" t="s">
        <v>15</v>
      </c>
      <c r="G88" s="33" t="s">
        <v>58</v>
      </c>
      <c r="H88" s="33" t="s">
        <v>62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19" t="s">
        <v>114</v>
      </c>
      <c r="B89" s="20" t="s">
        <v>73</v>
      </c>
      <c r="C89" s="23"/>
      <c r="D89" s="26">
        <v>2000.0</v>
      </c>
      <c r="E89" s="20" t="s">
        <v>75</v>
      </c>
      <c r="F89" s="20" t="s">
        <v>164</v>
      </c>
      <c r="G89" s="23"/>
      <c r="H89" s="26">
        <v>2600.0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19" t="s">
        <v>127</v>
      </c>
      <c r="B90" s="20" t="s">
        <v>98</v>
      </c>
      <c r="C90" s="23"/>
      <c r="D90" s="20">
        <v>600.0</v>
      </c>
      <c r="E90" s="23"/>
      <c r="F90" s="23"/>
      <c r="G90" s="23"/>
      <c r="H90" s="23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29"/>
      <c r="B91" s="23"/>
      <c r="C91" s="23"/>
      <c r="D91" s="34">
        <v>2600.0</v>
      </c>
      <c r="E91" s="23"/>
      <c r="F91" s="23"/>
      <c r="G91" s="23"/>
      <c r="H91" s="34">
        <v>2600.0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51" t="s">
        <v>103</v>
      </c>
      <c r="B92" s="37" t="s">
        <v>170</v>
      </c>
      <c r="C92" s="11"/>
      <c r="D92" s="38">
        <v>2600.0</v>
      </c>
      <c r="E92" s="11"/>
      <c r="F92" s="11"/>
      <c r="G92" s="11"/>
      <c r="H92" s="11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12"/>
      <c r="B93" s="14"/>
      <c r="C93" s="14"/>
      <c r="D93" s="14"/>
      <c r="E93" s="14"/>
      <c r="F93" s="14"/>
      <c r="G93" s="14"/>
      <c r="H93" s="17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22" t="s">
        <v>31</v>
      </c>
      <c r="B94" s="25" t="s">
        <v>329</v>
      </c>
      <c r="C94" s="27"/>
      <c r="D94" s="27"/>
      <c r="E94" s="27"/>
      <c r="F94" s="27"/>
      <c r="G94" s="28"/>
      <c r="H94" s="30" t="s">
        <v>48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32" t="s">
        <v>14</v>
      </c>
      <c r="B95" s="33" t="s">
        <v>15</v>
      </c>
      <c r="C95" s="33" t="s">
        <v>58</v>
      </c>
      <c r="D95" s="33" t="s">
        <v>62</v>
      </c>
      <c r="E95" s="33" t="s">
        <v>14</v>
      </c>
      <c r="F95" s="33" t="s">
        <v>15</v>
      </c>
      <c r="G95" s="33" t="s">
        <v>58</v>
      </c>
      <c r="H95" s="33" t="s">
        <v>62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19" t="s">
        <v>121</v>
      </c>
      <c r="B96" s="20" t="s">
        <v>88</v>
      </c>
      <c r="C96" s="23"/>
      <c r="D96" s="20">
        <v>500.0</v>
      </c>
      <c r="E96" s="20" t="s">
        <v>75</v>
      </c>
      <c r="F96" s="20" t="s">
        <v>164</v>
      </c>
      <c r="G96" s="23"/>
      <c r="H96" s="20">
        <v>500.0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29"/>
      <c r="B97" s="23"/>
      <c r="C97" s="23"/>
      <c r="D97" s="23"/>
      <c r="E97" s="23"/>
      <c r="F97" s="23"/>
      <c r="G97" s="23"/>
      <c r="H97" s="23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29"/>
      <c r="B98" s="23"/>
      <c r="C98" s="23"/>
      <c r="D98" s="88">
        <v>500.0</v>
      </c>
      <c r="E98" s="23"/>
      <c r="F98" s="23"/>
      <c r="G98" s="23"/>
      <c r="H98" s="88">
        <v>500.0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51" t="s">
        <v>103</v>
      </c>
      <c r="B99" s="37" t="s">
        <v>170</v>
      </c>
      <c r="C99" s="11"/>
      <c r="D99" s="37">
        <v>500.0</v>
      </c>
      <c r="E99" s="11"/>
      <c r="F99" s="11"/>
      <c r="G99" s="11"/>
      <c r="H99" s="11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12"/>
      <c r="B100" s="14"/>
      <c r="C100" s="14"/>
      <c r="D100" s="14"/>
      <c r="E100" s="14"/>
      <c r="F100" s="14"/>
      <c r="G100" s="14"/>
      <c r="H100" s="17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22" t="s">
        <v>31</v>
      </c>
      <c r="B101" s="25" t="s">
        <v>330</v>
      </c>
      <c r="C101" s="27"/>
      <c r="D101" s="27"/>
      <c r="E101" s="27"/>
      <c r="F101" s="27"/>
      <c r="G101" s="28"/>
      <c r="H101" s="30" t="s">
        <v>48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32" t="s">
        <v>14</v>
      </c>
      <c r="B102" s="33" t="s">
        <v>15</v>
      </c>
      <c r="C102" s="33" t="s">
        <v>58</v>
      </c>
      <c r="D102" s="33" t="s">
        <v>62</v>
      </c>
      <c r="E102" s="33" t="s">
        <v>14</v>
      </c>
      <c r="F102" s="33" t="s">
        <v>15</v>
      </c>
      <c r="G102" s="33" t="s">
        <v>58</v>
      </c>
      <c r="H102" s="33" t="s">
        <v>62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19" t="s">
        <v>138</v>
      </c>
      <c r="B103" s="20" t="s">
        <v>131</v>
      </c>
      <c r="C103" s="23"/>
      <c r="D103" s="26">
        <v>1500.0</v>
      </c>
      <c r="E103" s="20" t="s">
        <v>75</v>
      </c>
      <c r="F103" s="20" t="s">
        <v>164</v>
      </c>
      <c r="G103" s="23"/>
      <c r="H103" s="26">
        <v>1500.0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29"/>
      <c r="B104" s="23"/>
      <c r="C104" s="23"/>
      <c r="D104" s="23"/>
      <c r="E104" s="23"/>
      <c r="F104" s="23"/>
      <c r="G104" s="23"/>
      <c r="H104" s="23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29"/>
      <c r="B105" s="23"/>
      <c r="C105" s="23"/>
      <c r="D105" s="34">
        <v>1500.0</v>
      </c>
      <c r="E105" s="23"/>
      <c r="F105" s="23"/>
      <c r="G105" s="23"/>
      <c r="H105" s="34">
        <v>1500.0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51" t="s">
        <v>103</v>
      </c>
      <c r="B106" s="37" t="s">
        <v>170</v>
      </c>
      <c r="C106" s="11"/>
      <c r="D106" s="38">
        <v>1500.0</v>
      </c>
      <c r="E106" s="11"/>
      <c r="F106" s="11"/>
      <c r="G106" s="11"/>
      <c r="H106" s="11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12"/>
      <c r="B107" s="14"/>
      <c r="C107" s="14"/>
      <c r="D107" s="14"/>
      <c r="E107" s="14"/>
      <c r="F107" s="14"/>
      <c r="G107" s="14"/>
      <c r="H107" s="17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22" t="s">
        <v>31</v>
      </c>
      <c r="B108" s="25" t="s">
        <v>331</v>
      </c>
      <c r="C108" s="27"/>
      <c r="D108" s="27"/>
      <c r="E108" s="27"/>
      <c r="F108" s="27"/>
      <c r="G108" s="28"/>
      <c r="H108" s="30" t="s">
        <v>48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32" t="s">
        <v>14</v>
      </c>
      <c r="B109" s="33" t="s">
        <v>15</v>
      </c>
      <c r="C109" s="33" t="s">
        <v>58</v>
      </c>
      <c r="D109" s="33" t="s">
        <v>62</v>
      </c>
      <c r="E109" s="33" t="s">
        <v>14</v>
      </c>
      <c r="F109" s="33" t="s">
        <v>15</v>
      </c>
      <c r="G109" s="33" t="s">
        <v>58</v>
      </c>
      <c r="H109" s="33" t="s">
        <v>62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19" t="s">
        <v>146</v>
      </c>
      <c r="B110" s="20" t="s">
        <v>73</v>
      </c>
      <c r="C110" s="23"/>
      <c r="D110" s="26">
        <v>4000.0</v>
      </c>
      <c r="E110" s="20" t="s">
        <v>75</v>
      </c>
      <c r="F110" s="20" t="s">
        <v>164</v>
      </c>
      <c r="G110" s="23"/>
      <c r="H110" s="26">
        <v>6000.0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19" t="s">
        <v>159</v>
      </c>
      <c r="B111" s="20" t="s">
        <v>98</v>
      </c>
      <c r="C111" s="23"/>
      <c r="D111" s="26">
        <v>2000.0</v>
      </c>
      <c r="E111" s="23"/>
      <c r="F111" s="23"/>
      <c r="G111" s="23"/>
      <c r="H111" s="23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29"/>
      <c r="B112" s="23"/>
      <c r="C112" s="23"/>
      <c r="D112" s="34">
        <v>6000.0</v>
      </c>
      <c r="E112" s="23"/>
      <c r="F112" s="23"/>
      <c r="G112" s="23"/>
      <c r="H112" s="34">
        <v>6000.0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51" t="s">
        <v>103</v>
      </c>
      <c r="B113" s="37" t="s">
        <v>170</v>
      </c>
      <c r="C113" s="11"/>
      <c r="D113" s="38">
        <v>6000.0</v>
      </c>
      <c r="E113" s="11"/>
      <c r="F113" s="11"/>
      <c r="G113" s="11"/>
      <c r="H113" s="11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12"/>
      <c r="B114" s="14"/>
      <c r="C114" s="14"/>
      <c r="D114" s="14"/>
      <c r="E114" s="14"/>
      <c r="F114" s="14"/>
      <c r="G114" s="14"/>
      <c r="H114" s="17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22" t="s">
        <v>31</v>
      </c>
      <c r="B115" s="25" t="s">
        <v>332</v>
      </c>
      <c r="C115" s="27"/>
      <c r="D115" s="27"/>
      <c r="E115" s="27"/>
      <c r="F115" s="27"/>
      <c r="G115" s="28"/>
      <c r="H115" s="30" t="s">
        <v>48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32" t="s">
        <v>14</v>
      </c>
      <c r="B116" s="33" t="s">
        <v>15</v>
      </c>
      <c r="C116" s="33" t="s">
        <v>58</v>
      </c>
      <c r="D116" s="33" t="s">
        <v>62</v>
      </c>
      <c r="E116" s="33" t="s">
        <v>14</v>
      </c>
      <c r="F116" s="33" t="s">
        <v>15</v>
      </c>
      <c r="G116" s="33" t="s">
        <v>58</v>
      </c>
      <c r="H116" s="33" t="s">
        <v>62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19" t="s">
        <v>75</v>
      </c>
      <c r="B117" s="20" t="s">
        <v>76</v>
      </c>
      <c r="C117" s="23"/>
      <c r="D117" s="26">
        <v>1000.0</v>
      </c>
      <c r="E117" s="20" t="s">
        <v>132</v>
      </c>
      <c r="F117" s="20" t="s">
        <v>80</v>
      </c>
      <c r="G117" s="23"/>
      <c r="H117" s="26">
        <v>1000.0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29"/>
      <c r="B118" s="23"/>
      <c r="C118" s="23"/>
      <c r="D118" s="23"/>
      <c r="E118" s="23"/>
      <c r="F118" s="23"/>
      <c r="G118" s="23"/>
      <c r="H118" s="23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29"/>
      <c r="B119" s="23"/>
      <c r="C119" s="23"/>
      <c r="D119" s="34">
        <v>1000.0</v>
      </c>
      <c r="E119" s="23"/>
      <c r="F119" s="23"/>
      <c r="G119" s="23"/>
      <c r="H119" s="34">
        <v>1000.0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36"/>
      <c r="B120" s="11"/>
      <c r="C120" s="11"/>
      <c r="D120" s="11"/>
      <c r="E120" s="37" t="s">
        <v>103</v>
      </c>
      <c r="F120" s="37" t="s">
        <v>104</v>
      </c>
      <c r="G120" s="11"/>
      <c r="H120" s="38">
        <v>1000.0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12"/>
      <c r="B121" s="14"/>
      <c r="C121" s="14"/>
      <c r="D121" s="14"/>
      <c r="E121" s="14"/>
      <c r="F121" s="14"/>
      <c r="G121" s="14"/>
      <c r="H121" s="17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22" t="s">
        <v>31</v>
      </c>
      <c r="B122" s="25" t="s">
        <v>333</v>
      </c>
      <c r="C122" s="27"/>
      <c r="D122" s="27"/>
      <c r="E122" s="27"/>
      <c r="F122" s="27"/>
      <c r="G122" s="28"/>
      <c r="H122" s="30" t="s">
        <v>48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32" t="s">
        <v>14</v>
      </c>
      <c r="B123" s="33" t="s">
        <v>15</v>
      </c>
      <c r="C123" s="33" t="s">
        <v>58</v>
      </c>
      <c r="D123" s="33" t="s">
        <v>62</v>
      </c>
      <c r="E123" s="33" t="s">
        <v>14</v>
      </c>
      <c r="F123" s="33" t="s">
        <v>15</v>
      </c>
      <c r="G123" s="33" t="s">
        <v>58</v>
      </c>
      <c r="H123" s="33" t="s">
        <v>62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19" t="s">
        <v>143</v>
      </c>
      <c r="B124" s="20" t="s">
        <v>98</v>
      </c>
      <c r="C124" s="23"/>
      <c r="D124" s="26">
        <v>3000.0</v>
      </c>
      <c r="E124" s="20" t="s">
        <v>75</v>
      </c>
      <c r="F124" s="20" t="s">
        <v>164</v>
      </c>
      <c r="G124" s="23"/>
      <c r="H124" s="26">
        <v>3000.0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29"/>
      <c r="B125" s="23"/>
      <c r="C125" s="23"/>
      <c r="D125" s="23"/>
      <c r="E125" s="23"/>
      <c r="F125" s="23"/>
      <c r="G125" s="23"/>
      <c r="H125" s="23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29"/>
      <c r="B126" s="23"/>
      <c r="C126" s="23"/>
      <c r="D126" s="34">
        <v>3000.0</v>
      </c>
      <c r="E126" s="23"/>
      <c r="F126" s="23"/>
      <c r="G126" s="23"/>
      <c r="H126" s="34">
        <v>3000.0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51" t="s">
        <v>103</v>
      </c>
      <c r="B127" s="37" t="s">
        <v>170</v>
      </c>
      <c r="C127" s="11"/>
      <c r="D127" s="38">
        <v>3000.0</v>
      </c>
      <c r="E127" s="11"/>
      <c r="F127" s="11"/>
      <c r="G127" s="11"/>
      <c r="H127" s="11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12"/>
      <c r="B128" s="14"/>
      <c r="C128" s="14"/>
      <c r="D128" s="14"/>
      <c r="E128" s="14"/>
      <c r="F128" s="14"/>
      <c r="G128" s="14"/>
      <c r="H128" s="17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22" t="s">
        <v>31</v>
      </c>
      <c r="B129" s="25" t="s">
        <v>334</v>
      </c>
      <c r="C129" s="27"/>
      <c r="D129" s="27"/>
      <c r="E129" s="27"/>
      <c r="F129" s="27"/>
      <c r="G129" s="28"/>
      <c r="H129" s="30" t="s">
        <v>48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32" t="s">
        <v>14</v>
      </c>
      <c r="B130" s="33" t="s">
        <v>15</v>
      </c>
      <c r="C130" s="33" t="s">
        <v>58</v>
      </c>
      <c r="D130" s="33" t="s">
        <v>62</v>
      </c>
      <c r="E130" s="33" t="s">
        <v>14</v>
      </c>
      <c r="F130" s="33" t="s">
        <v>15</v>
      </c>
      <c r="G130" s="33" t="s">
        <v>58</v>
      </c>
      <c r="H130" s="33" t="s">
        <v>62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19" t="s">
        <v>75</v>
      </c>
      <c r="B131" s="20" t="s">
        <v>76</v>
      </c>
      <c r="C131" s="23"/>
      <c r="D131" s="26">
        <v>40000.0</v>
      </c>
      <c r="E131" s="20" t="s">
        <v>176</v>
      </c>
      <c r="F131" s="20" t="s">
        <v>91</v>
      </c>
      <c r="G131" s="23"/>
      <c r="H131" s="26">
        <v>40000.0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29"/>
      <c r="B132" s="23"/>
      <c r="C132" s="23"/>
      <c r="D132" s="23"/>
      <c r="E132" s="23"/>
      <c r="F132" s="23"/>
      <c r="G132" s="23"/>
      <c r="H132" s="23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29"/>
      <c r="B133" s="23"/>
      <c r="C133" s="23"/>
      <c r="D133" s="34">
        <v>40000.0</v>
      </c>
      <c r="E133" s="23"/>
      <c r="F133" s="23"/>
      <c r="G133" s="23"/>
      <c r="H133" s="34">
        <v>40000.0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36"/>
      <c r="B134" s="11"/>
      <c r="C134" s="11"/>
      <c r="D134" s="11"/>
      <c r="E134" s="37" t="s">
        <v>103</v>
      </c>
      <c r="F134" s="37" t="s">
        <v>104</v>
      </c>
      <c r="G134" s="11"/>
      <c r="H134" s="38">
        <v>40000.0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12"/>
      <c r="B135" s="14"/>
      <c r="C135" s="14"/>
      <c r="D135" s="14"/>
      <c r="E135" s="14"/>
      <c r="F135" s="14"/>
      <c r="G135" s="14"/>
      <c r="H135" s="17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22" t="s">
        <v>31</v>
      </c>
      <c r="B136" s="25" t="s">
        <v>335</v>
      </c>
      <c r="C136" s="27"/>
      <c r="D136" s="27"/>
      <c r="E136" s="27"/>
      <c r="F136" s="27"/>
      <c r="G136" s="28"/>
      <c r="H136" s="30" t="s">
        <v>48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32" t="s">
        <v>14</v>
      </c>
      <c r="B137" s="33" t="s">
        <v>15</v>
      </c>
      <c r="C137" s="33" t="s">
        <v>58</v>
      </c>
      <c r="D137" s="33" t="s">
        <v>62</v>
      </c>
      <c r="E137" s="33" t="s">
        <v>14</v>
      </c>
      <c r="F137" s="33" t="s">
        <v>15</v>
      </c>
      <c r="G137" s="33" t="s">
        <v>58</v>
      </c>
      <c r="H137" s="33" t="s">
        <v>62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19" t="s">
        <v>183</v>
      </c>
      <c r="B138" s="20" t="s">
        <v>73</v>
      </c>
      <c r="C138" s="23"/>
      <c r="D138" s="26">
        <v>3500.0</v>
      </c>
      <c r="E138" s="20" t="s">
        <v>75</v>
      </c>
      <c r="F138" s="20" t="s">
        <v>164</v>
      </c>
      <c r="G138" s="23"/>
      <c r="H138" s="26">
        <v>3500.0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29"/>
      <c r="B139" s="23"/>
      <c r="C139" s="23"/>
      <c r="D139" s="23"/>
      <c r="E139" s="23"/>
      <c r="F139" s="23"/>
      <c r="G139" s="23"/>
      <c r="H139" s="23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29"/>
      <c r="B140" s="23"/>
      <c r="C140" s="23"/>
      <c r="D140" s="34">
        <v>3500.0</v>
      </c>
      <c r="E140" s="23"/>
      <c r="F140" s="23"/>
      <c r="G140" s="23"/>
      <c r="H140" s="34">
        <v>3500.0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51" t="s">
        <v>103</v>
      </c>
      <c r="B141" s="37" t="s">
        <v>170</v>
      </c>
      <c r="C141" s="11"/>
      <c r="D141" s="38">
        <v>3500.0</v>
      </c>
      <c r="E141" s="11"/>
      <c r="F141" s="11"/>
      <c r="G141" s="11"/>
      <c r="H141" s="11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12"/>
      <c r="B142" s="14"/>
      <c r="C142" s="14"/>
      <c r="D142" s="14"/>
      <c r="E142" s="14"/>
      <c r="F142" s="14"/>
      <c r="G142" s="14"/>
      <c r="H142" s="17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22" t="s">
        <v>31</v>
      </c>
      <c r="B143" s="25" t="s">
        <v>336</v>
      </c>
      <c r="C143" s="27"/>
      <c r="D143" s="27"/>
      <c r="E143" s="27"/>
      <c r="F143" s="27"/>
      <c r="G143" s="28"/>
      <c r="H143" s="30" t="s">
        <v>48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32" t="s">
        <v>14</v>
      </c>
      <c r="B144" s="33" t="s">
        <v>15</v>
      </c>
      <c r="C144" s="33" t="s">
        <v>58</v>
      </c>
      <c r="D144" s="33" t="s">
        <v>62</v>
      </c>
      <c r="E144" s="33" t="s">
        <v>14</v>
      </c>
      <c r="F144" s="33" t="s">
        <v>15</v>
      </c>
      <c r="G144" s="33" t="s">
        <v>58</v>
      </c>
      <c r="H144" s="33" t="s">
        <v>62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19" t="s">
        <v>186</v>
      </c>
      <c r="B145" s="20" t="s">
        <v>106</v>
      </c>
      <c r="C145" s="23"/>
      <c r="D145" s="26">
        <v>45000.0</v>
      </c>
      <c r="E145" s="20" t="s">
        <v>189</v>
      </c>
      <c r="F145" s="20" t="s">
        <v>91</v>
      </c>
      <c r="G145" s="23"/>
      <c r="H145" s="26">
        <v>45000.0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29"/>
      <c r="B146" s="23"/>
      <c r="C146" s="23"/>
      <c r="D146" s="23"/>
      <c r="E146" s="23"/>
      <c r="F146" s="23"/>
      <c r="G146" s="23"/>
      <c r="H146" s="23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36"/>
      <c r="B147" s="11"/>
      <c r="C147" s="11"/>
      <c r="D147" s="84">
        <v>45000.0</v>
      </c>
      <c r="E147" s="11"/>
      <c r="F147" s="11"/>
      <c r="G147" s="11"/>
      <c r="H147" s="84">
        <v>45000.0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12"/>
      <c r="B148" s="14"/>
      <c r="C148" s="14"/>
      <c r="D148" s="14"/>
      <c r="E148" s="14"/>
      <c r="F148" s="14"/>
      <c r="G148" s="14"/>
      <c r="H148" s="17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22" t="s">
        <v>31</v>
      </c>
      <c r="B149" s="25" t="s">
        <v>337</v>
      </c>
      <c r="C149" s="27"/>
      <c r="D149" s="27"/>
      <c r="E149" s="27"/>
      <c r="F149" s="27"/>
      <c r="G149" s="28"/>
      <c r="H149" s="30" t="s">
        <v>48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32" t="s">
        <v>14</v>
      </c>
      <c r="B150" s="33" t="s">
        <v>15</v>
      </c>
      <c r="C150" s="33" t="s">
        <v>58</v>
      </c>
      <c r="D150" s="33" t="s">
        <v>62</v>
      </c>
      <c r="E150" s="33" t="s">
        <v>14</v>
      </c>
      <c r="F150" s="33" t="s">
        <v>15</v>
      </c>
      <c r="G150" s="33" t="s">
        <v>58</v>
      </c>
      <c r="H150" s="33" t="s">
        <v>62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19" t="s">
        <v>192</v>
      </c>
      <c r="B151" s="20" t="s">
        <v>73</v>
      </c>
      <c r="C151" s="23"/>
      <c r="D151" s="26">
        <v>2400.0</v>
      </c>
      <c r="E151" s="20" t="s">
        <v>75</v>
      </c>
      <c r="F151" s="20" t="s">
        <v>164</v>
      </c>
      <c r="G151" s="23"/>
      <c r="H151" s="26">
        <v>2400.0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29"/>
      <c r="B152" s="23"/>
      <c r="C152" s="23"/>
      <c r="D152" s="23"/>
      <c r="E152" s="23"/>
      <c r="F152" s="23"/>
      <c r="G152" s="23"/>
      <c r="H152" s="23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29"/>
      <c r="B153" s="23"/>
      <c r="C153" s="23"/>
      <c r="D153" s="34">
        <v>2400.0</v>
      </c>
      <c r="E153" s="23"/>
      <c r="F153" s="23"/>
      <c r="G153" s="23"/>
      <c r="H153" s="34">
        <v>2400.0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51" t="s">
        <v>103</v>
      </c>
      <c r="B154" s="37" t="s">
        <v>170</v>
      </c>
      <c r="C154" s="11"/>
      <c r="D154" s="38">
        <v>2400.0</v>
      </c>
      <c r="E154" s="11"/>
      <c r="F154" s="11"/>
      <c r="G154" s="11"/>
      <c r="H154" s="11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12"/>
      <c r="B155" s="14"/>
      <c r="C155" s="14"/>
      <c r="D155" s="14"/>
      <c r="E155" s="14"/>
      <c r="F155" s="14"/>
      <c r="G155" s="14"/>
      <c r="H155" s="17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22" t="s">
        <v>31</v>
      </c>
      <c r="B156" s="25" t="s">
        <v>338</v>
      </c>
      <c r="C156" s="27"/>
      <c r="D156" s="27"/>
      <c r="E156" s="27"/>
      <c r="F156" s="27"/>
      <c r="G156" s="28"/>
      <c r="H156" s="30" t="s">
        <v>48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32" t="s">
        <v>14</v>
      </c>
      <c r="B157" s="33" t="s">
        <v>15</v>
      </c>
      <c r="C157" s="33" t="s">
        <v>58</v>
      </c>
      <c r="D157" s="33" t="s">
        <v>62</v>
      </c>
      <c r="E157" s="33" t="s">
        <v>14</v>
      </c>
      <c r="F157" s="33" t="s">
        <v>15</v>
      </c>
      <c r="G157" s="33" t="s">
        <v>58</v>
      </c>
      <c r="H157" s="33" t="s">
        <v>62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19" t="s">
        <v>197</v>
      </c>
      <c r="B158" s="20" t="s">
        <v>199</v>
      </c>
      <c r="C158" s="23"/>
      <c r="D158" s="26">
        <v>8500.0</v>
      </c>
      <c r="E158" s="20" t="s">
        <v>75</v>
      </c>
      <c r="F158" s="20" t="s">
        <v>164</v>
      </c>
      <c r="G158" s="23"/>
      <c r="H158" s="26">
        <v>8500.0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29"/>
      <c r="B159" s="23"/>
      <c r="C159" s="23"/>
      <c r="D159" s="23"/>
      <c r="E159" s="23"/>
      <c r="F159" s="23"/>
      <c r="G159" s="23"/>
      <c r="H159" s="23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29"/>
      <c r="B160" s="23"/>
      <c r="C160" s="23"/>
      <c r="D160" s="34">
        <v>8500.0</v>
      </c>
      <c r="E160" s="23"/>
      <c r="F160" s="23"/>
      <c r="G160" s="23"/>
      <c r="H160" s="34">
        <v>8500.0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51" t="s">
        <v>103</v>
      </c>
      <c r="B161" s="37" t="s">
        <v>170</v>
      </c>
      <c r="C161" s="11"/>
      <c r="D161" s="38">
        <v>8500.0</v>
      </c>
      <c r="E161" s="11"/>
      <c r="F161" s="11"/>
      <c r="G161" s="11"/>
      <c r="H161" s="11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12"/>
      <c r="B162" s="14"/>
      <c r="C162" s="14"/>
      <c r="D162" s="14"/>
      <c r="E162" s="14"/>
      <c r="F162" s="14"/>
      <c r="G162" s="14"/>
      <c r="H162" s="17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22" t="s">
        <v>31</v>
      </c>
      <c r="B163" s="25" t="s">
        <v>339</v>
      </c>
      <c r="C163" s="27"/>
      <c r="D163" s="27"/>
      <c r="E163" s="27"/>
      <c r="F163" s="27"/>
      <c r="G163" s="28"/>
      <c r="H163" s="30" t="s">
        <v>48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32" t="s">
        <v>14</v>
      </c>
      <c r="B164" s="33" t="s">
        <v>15</v>
      </c>
      <c r="C164" s="33" t="s">
        <v>58</v>
      </c>
      <c r="D164" s="33" t="s">
        <v>62</v>
      </c>
      <c r="E164" s="33" t="s">
        <v>14</v>
      </c>
      <c r="F164" s="33" t="s">
        <v>15</v>
      </c>
      <c r="G164" s="33" t="s">
        <v>58</v>
      </c>
      <c r="H164" s="33" t="s">
        <v>62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19" t="s">
        <v>214</v>
      </c>
      <c r="B165" s="20" t="s">
        <v>73</v>
      </c>
      <c r="C165" s="23"/>
      <c r="D165" s="26">
        <v>5000.0</v>
      </c>
      <c r="E165" s="20" t="s">
        <v>197</v>
      </c>
      <c r="F165" s="20" t="s">
        <v>340</v>
      </c>
      <c r="G165" s="23"/>
      <c r="H165" s="26">
        <v>8500.0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19" t="s">
        <v>223</v>
      </c>
      <c r="B166" s="20" t="s">
        <v>73</v>
      </c>
      <c r="C166" s="23"/>
      <c r="D166" s="26">
        <v>3000.0</v>
      </c>
      <c r="E166" s="23"/>
      <c r="F166" s="23"/>
      <c r="G166" s="23"/>
      <c r="H166" s="23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19" t="s">
        <v>75</v>
      </c>
      <c r="B167" s="20" t="s">
        <v>76</v>
      </c>
      <c r="C167" s="23"/>
      <c r="D167" s="20">
        <v>500.0</v>
      </c>
      <c r="E167" s="23"/>
      <c r="F167" s="23"/>
      <c r="G167" s="23"/>
      <c r="H167" s="23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29"/>
      <c r="B168" s="23"/>
      <c r="C168" s="23"/>
      <c r="D168" s="34">
        <v>8500.0</v>
      </c>
      <c r="E168" s="23"/>
      <c r="F168" s="23"/>
      <c r="G168" s="23"/>
      <c r="H168" s="34">
        <v>8500.0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36"/>
      <c r="B169" s="11"/>
      <c r="C169" s="11"/>
      <c r="D169" s="11"/>
      <c r="E169" s="37" t="s">
        <v>103</v>
      </c>
      <c r="F169" s="37" t="s">
        <v>104</v>
      </c>
      <c r="G169" s="11"/>
      <c r="H169" s="37">
        <v>500.0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12"/>
      <c r="B170" s="14"/>
      <c r="C170" s="14"/>
      <c r="D170" s="14"/>
      <c r="E170" s="14"/>
      <c r="F170" s="14"/>
      <c r="G170" s="14"/>
      <c r="H170" s="17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22" t="s">
        <v>31</v>
      </c>
      <c r="B171" s="25" t="s">
        <v>341</v>
      </c>
      <c r="C171" s="27"/>
      <c r="D171" s="27"/>
      <c r="E171" s="27"/>
      <c r="F171" s="27"/>
      <c r="G171" s="28"/>
      <c r="H171" s="30" t="s">
        <v>48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32" t="s">
        <v>14</v>
      </c>
      <c r="B172" s="33" t="s">
        <v>15</v>
      </c>
      <c r="C172" s="33" t="s">
        <v>58</v>
      </c>
      <c r="D172" s="33" t="s">
        <v>62</v>
      </c>
      <c r="E172" s="33" t="s">
        <v>14</v>
      </c>
      <c r="F172" s="33" t="s">
        <v>15</v>
      </c>
      <c r="G172" s="33" t="s">
        <v>58</v>
      </c>
      <c r="H172" s="33" t="s">
        <v>62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19" t="s">
        <v>202</v>
      </c>
      <c r="B173" s="20" t="s">
        <v>73</v>
      </c>
      <c r="C173" s="23"/>
      <c r="D173" s="26">
        <v>14000.0</v>
      </c>
      <c r="E173" s="20" t="s">
        <v>75</v>
      </c>
      <c r="F173" s="20" t="s">
        <v>164</v>
      </c>
      <c r="G173" s="23"/>
      <c r="H173" s="26">
        <v>14000.0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29"/>
      <c r="B174" s="23"/>
      <c r="C174" s="23"/>
      <c r="D174" s="23"/>
      <c r="E174" s="23"/>
      <c r="F174" s="23"/>
      <c r="G174" s="23"/>
      <c r="H174" s="23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29"/>
      <c r="B175" s="23"/>
      <c r="C175" s="23"/>
      <c r="D175" s="34">
        <v>14000.0</v>
      </c>
      <c r="E175" s="23"/>
      <c r="F175" s="23"/>
      <c r="G175" s="23"/>
      <c r="H175" s="34">
        <v>14000.0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51" t="s">
        <v>103</v>
      </c>
      <c r="B176" s="37" t="s">
        <v>170</v>
      </c>
      <c r="C176" s="11"/>
      <c r="D176" s="38">
        <v>14000.0</v>
      </c>
      <c r="E176" s="11"/>
      <c r="F176" s="11"/>
      <c r="G176" s="11"/>
      <c r="H176" s="11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12"/>
      <c r="B177" s="14"/>
      <c r="C177" s="14"/>
      <c r="D177" s="14"/>
      <c r="E177" s="14"/>
      <c r="F177" s="14"/>
      <c r="G177" s="14"/>
      <c r="H177" s="17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22" t="s">
        <v>31</v>
      </c>
      <c r="B178" s="25" t="s">
        <v>342</v>
      </c>
      <c r="C178" s="27"/>
      <c r="D178" s="27"/>
      <c r="E178" s="27"/>
      <c r="F178" s="27"/>
      <c r="G178" s="28"/>
      <c r="H178" s="30" t="s">
        <v>48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32" t="s">
        <v>14</v>
      </c>
      <c r="B179" s="33" t="s">
        <v>15</v>
      </c>
      <c r="C179" s="33" t="s">
        <v>58</v>
      </c>
      <c r="D179" s="33" t="s">
        <v>62</v>
      </c>
      <c r="E179" s="33" t="s">
        <v>14</v>
      </c>
      <c r="F179" s="33" t="s">
        <v>15</v>
      </c>
      <c r="G179" s="33" t="s">
        <v>58</v>
      </c>
      <c r="H179" s="33" t="s">
        <v>62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19" t="s">
        <v>152</v>
      </c>
      <c r="B180" s="20" t="s">
        <v>98</v>
      </c>
      <c r="C180" s="23"/>
      <c r="D180" s="20">
        <v>400.0</v>
      </c>
      <c r="E180" s="20" t="s">
        <v>75</v>
      </c>
      <c r="F180" s="20" t="s">
        <v>164</v>
      </c>
      <c r="G180" s="23"/>
      <c r="H180" s="20">
        <v>400.0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29"/>
      <c r="B181" s="23"/>
      <c r="C181" s="23"/>
      <c r="D181" s="23"/>
      <c r="E181" s="23"/>
      <c r="F181" s="23"/>
      <c r="G181" s="23"/>
      <c r="H181" s="23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29"/>
      <c r="B182" s="23"/>
      <c r="C182" s="23"/>
      <c r="D182" s="88">
        <v>400.0</v>
      </c>
      <c r="E182" s="23"/>
      <c r="F182" s="23"/>
      <c r="G182" s="23"/>
      <c r="H182" s="88">
        <v>400.0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51" t="s">
        <v>103</v>
      </c>
      <c r="B183" s="37" t="s">
        <v>170</v>
      </c>
      <c r="C183" s="11"/>
      <c r="D183" s="37">
        <v>400.0</v>
      </c>
      <c r="E183" s="11"/>
      <c r="F183" s="11"/>
      <c r="G183" s="11"/>
      <c r="H183" s="11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12"/>
      <c r="B184" s="14"/>
      <c r="C184" s="14"/>
      <c r="D184" s="14"/>
      <c r="E184" s="14"/>
      <c r="F184" s="14"/>
      <c r="G184" s="14"/>
      <c r="H184" s="17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22" t="s">
        <v>31</v>
      </c>
      <c r="B185" s="25" t="s">
        <v>343</v>
      </c>
      <c r="C185" s="27"/>
      <c r="D185" s="27"/>
      <c r="E185" s="27"/>
      <c r="F185" s="27"/>
      <c r="G185" s="28"/>
      <c r="H185" s="30" t="s">
        <v>48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32" t="s">
        <v>14</v>
      </c>
      <c r="B186" s="33" t="s">
        <v>15</v>
      </c>
      <c r="C186" s="33" t="s">
        <v>58</v>
      </c>
      <c r="D186" s="33" t="s">
        <v>62</v>
      </c>
      <c r="E186" s="33" t="s">
        <v>14</v>
      </c>
      <c r="F186" s="33" t="s">
        <v>15</v>
      </c>
      <c r="G186" s="33" t="s">
        <v>58</v>
      </c>
      <c r="H186" s="33" t="s">
        <v>62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19" t="s">
        <v>75</v>
      </c>
      <c r="B187" s="20" t="s">
        <v>76</v>
      </c>
      <c r="C187" s="23"/>
      <c r="D187" s="26">
        <v>1200.0</v>
      </c>
      <c r="E187" s="20" t="s">
        <v>149</v>
      </c>
      <c r="F187" s="20" t="s">
        <v>80</v>
      </c>
      <c r="G187" s="23"/>
      <c r="H187" s="26">
        <v>1200.0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29"/>
      <c r="B188" s="23"/>
      <c r="C188" s="23"/>
      <c r="D188" s="23"/>
      <c r="E188" s="23"/>
      <c r="F188" s="23"/>
      <c r="G188" s="23"/>
      <c r="H188" s="23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29"/>
      <c r="B189" s="23"/>
      <c r="C189" s="23"/>
      <c r="D189" s="34">
        <v>1200.0</v>
      </c>
      <c r="E189" s="23"/>
      <c r="F189" s="23"/>
      <c r="G189" s="23"/>
      <c r="H189" s="34">
        <v>1200.0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36"/>
      <c r="B190" s="11"/>
      <c r="C190" s="11"/>
      <c r="D190" s="11"/>
      <c r="E190" s="37" t="s">
        <v>103</v>
      </c>
      <c r="F190" s="37" t="s">
        <v>104</v>
      </c>
      <c r="G190" s="11"/>
      <c r="H190" s="38">
        <v>1200.0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12"/>
      <c r="B191" s="14"/>
      <c r="C191" s="14"/>
      <c r="D191" s="14"/>
      <c r="E191" s="14"/>
      <c r="F191" s="14"/>
      <c r="G191" s="14"/>
      <c r="H191" s="17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22" t="s">
        <v>31</v>
      </c>
      <c r="B192" s="25" t="s">
        <v>344</v>
      </c>
      <c r="C192" s="27"/>
      <c r="D192" s="27"/>
      <c r="E192" s="27"/>
      <c r="F192" s="27"/>
      <c r="G192" s="28"/>
      <c r="H192" s="30" t="s">
        <v>48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32" t="s">
        <v>14</v>
      </c>
      <c r="B193" s="33" t="s">
        <v>15</v>
      </c>
      <c r="C193" s="33" t="s">
        <v>58</v>
      </c>
      <c r="D193" s="33" t="s">
        <v>62</v>
      </c>
      <c r="E193" s="33" t="s">
        <v>14</v>
      </c>
      <c r="F193" s="33" t="s">
        <v>15</v>
      </c>
      <c r="G193" s="33" t="s">
        <v>58</v>
      </c>
      <c r="H193" s="33" t="s">
        <v>62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19" t="s">
        <v>208</v>
      </c>
      <c r="B194" s="20" t="s">
        <v>73</v>
      </c>
      <c r="C194" s="23"/>
      <c r="D194" s="26">
        <v>30000.0</v>
      </c>
      <c r="E194" s="20" t="s">
        <v>75</v>
      </c>
      <c r="F194" s="20" t="s">
        <v>164</v>
      </c>
      <c r="G194" s="23"/>
      <c r="H194" s="26">
        <v>30000.0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29"/>
      <c r="B195" s="23"/>
      <c r="C195" s="23"/>
      <c r="D195" s="23"/>
      <c r="E195" s="23"/>
      <c r="F195" s="23"/>
      <c r="G195" s="23"/>
      <c r="H195" s="23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29"/>
      <c r="B196" s="23"/>
      <c r="C196" s="23"/>
      <c r="D196" s="34">
        <v>30000.0</v>
      </c>
      <c r="E196" s="23"/>
      <c r="F196" s="23"/>
      <c r="G196" s="23"/>
      <c r="H196" s="34">
        <v>30000.0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51" t="s">
        <v>103</v>
      </c>
      <c r="B197" s="37" t="s">
        <v>170</v>
      </c>
      <c r="C197" s="11"/>
      <c r="D197" s="38">
        <v>30000.0</v>
      </c>
      <c r="E197" s="11"/>
      <c r="F197" s="11"/>
      <c r="G197" s="11"/>
      <c r="H197" s="11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12"/>
      <c r="B198" s="14"/>
      <c r="C198" s="14"/>
      <c r="D198" s="14"/>
      <c r="E198" s="14"/>
      <c r="F198" s="14"/>
      <c r="G198" s="14"/>
      <c r="H198" s="17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22" t="s">
        <v>31</v>
      </c>
      <c r="B199" s="25" t="s">
        <v>345</v>
      </c>
      <c r="C199" s="27"/>
      <c r="D199" s="27"/>
      <c r="E199" s="27"/>
      <c r="F199" s="27"/>
      <c r="G199" s="28"/>
      <c r="H199" s="30" t="s">
        <v>48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32" t="s">
        <v>14</v>
      </c>
      <c r="B200" s="33" t="s">
        <v>15</v>
      </c>
      <c r="C200" s="33" t="s">
        <v>58</v>
      </c>
      <c r="D200" s="33" t="s">
        <v>62</v>
      </c>
      <c r="E200" s="33" t="s">
        <v>14</v>
      </c>
      <c r="F200" s="33" t="s">
        <v>15</v>
      </c>
      <c r="G200" s="33" t="s">
        <v>58</v>
      </c>
      <c r="H200" s="33" t="s">
        <v>62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19" t="s">
        <v>159</v>
      </c>
      <c r="B201" s="20" t="s">
        <v>73</v>
      </c>
      <c r="C201" s="23"/>
      <c r="D201" s="26">
        <v>2000.0</v>
      </c>
      <c r="E201" s="20" t="s">
        <v>75</v>
      </c>
      <c r="F201" s="20" t="s">
        <v>164</v>
      </c>
      <c r="G201" s="23"/>
      <c r="H201" s="26">
        <v>2000.0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29"/>
      <c r="B202" s="23"/>
      <c r="C202" s="23"/>
      <c r="D202" s="23"/>
      <c r="E202" s="23"/>
      <c r="F202" s="23"/>
      <c r="G202" s="23"/>
      <c r="H202" s="23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29"/>
      <c r="B203" s="23"/>
      <c r="C203" s="23"/>
      <c r="D203" s="34">
        <v>2000.0</v>
      </c>
      <c r="E203" s="23"/>
      <c r="F203" s="23"/>
      <c r="G203" s="23"/>
      <c r="H203" s="34">
        <v>2000.0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51" t="s">
        <v>103</v>
      </c>
      <c r="B204" s="37" t="s">
        <v>170</v>
      </c>
      <c r="C204" s="11"/>
      <c r="D204" s="38">
        <v>2000.0</v>
      </c>
      <c r="E204" s="11"/>
      <c r="F204" s="11"/>
      <c r="G204" s="11"/>
      <c r="H204" s="11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12"/>
      <c r="B205" s="14"/>
      <c r="C205" s="14"/>
      <c r="D205" s="14"/>
      <c r="E205" s="14"/>
      <c r="F205" s="14"/>
      <c r="G205" s="14"/>
      <c r="H205" s="17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22" t="s">
        <v>31</v>
      </c>
      <c r="B206" s="25" t="s">
        <v>346</v>
      </c>
      <c r="C206" s="27"/>
      <c r="D206" s="27"/>
      <c r="E206" s="27"/>
      <c r="F206" s="27"/>
      <c r="G206" s="28"/>
      <c r="H206" s="30" t="s">
        <v>48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32" t="s">
        <v>14</v>
      </c>
      <c r="B207" s="33" t="s">
        <v>15</v>
      </c>
      <c r="C207" s="33" t="s">
        <v>58</v>
      </c>
      <c r="D207" s="33" t="s">
        <v>62</v>
      </c>
      <c r="E207" s="33" t="s">
        <v>14</v>
      </c>
      <c r="F207" s="33" t="s">
        <v>15</v>
      </c>
      <c r="G207" s="33" t="s">
        <v>58</v>
      </c>
      <c r="H207" s="33" t="s">
        <v>62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19" t="s">
        <v>75</v>
      </c>
      <c r="B208" s="20" t="s">
        <v>76</v>
      </c>
      <c r="C208" s="23"/>
      <c r="D208" s="26">
        <v>3000.0</v>
      </c>
      <c r="E208" s="20" t="s">
        <v>193</v>
      </c>
      <c r="F208" s="20" t="s">
        <v>91</v>
      </c>
      <c r="G208" s="23"/>
      <c r="H208" s="26">
        <v>3000.0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29"/>
      <c r="B209" s="23"/>
      <c r="C209" s="23"/>
      <c r="D209" s="23"/>
      <c r="E209" s="23"/>
      <c r="F209" s="23"/>
      <c r="G209" s="23"/>
      <c r="H209" s="23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29"/>
      <c r="B210" s="23"/>
      <c r="C210" s="23"/>
      <c r="D210" s="34">
        <v>3000.0</v>
      </c>
      <c r="E210" s="23"/>
      <c r="F210" s="23"/>
      <c r="G210" s="23"/>
      <c r="H210" s="34">
        <v>3000.0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29"/>
      <c r="B211" s="23"/>
      <c r="C211" s="23"/>
      <c r="D211" s="23"/>
      <c r="E211" s="20" t="s">
        <v>103</v>
      </c>
      <c r="F211" s="20" t="s">
        <v>104</v>
      </c>
      <c r="G211" s="23"/>
      <c r="H211" s="26">
        <v>3000.0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55">
    <mergeCell ref="A1:H1"/>
    <mergeCell ref="A2:H2"/>
    <mergeCell ref="B3:G3"/>
    <mergeCell ref="A10:H10"/>
    <mergeCell ref="B11:G11"/>
    <mergeCell ref="A22:H22"/>
    <mergeCell ref="B23:G23"/>
    <mergeCell ref="A39:H39"/>
    <mergeCell ref="B40:G40"/>
    <mergeCell ref="A46:H46"/>
    <mergeCell ref="B47:G47"/>
    <mergeCell ref="A54:H54"/>
    <mergeCell ref="B55:G55"/>
    <mergeCell ref="A61:H61"/>
    <mergeCell ref="B62:G62"/>
    <mergeCell ref="A68:H68"/>
    <mergeCell ref="B69:G69"/>
    <mergeCell ref="A78:H78"/>
    <mergeCell ref="B79:G79"/>
    <mergeCell ref="A86:H86"/>
    <mergeCell ref="B87:G87"/>
    <mergeCell ref="A93:H93"/>
    <mergeCell ref="B94:G94"/>
    <mergeCell ref="A100:H100"/>
    <mergeCell ref="B101:G101"/>
    <mergeCell ref="A107:H107"/>
    <mergeCell ref="B108:G108"/>
    <mergeCell ref="A114:H114"/>
    <mergeCell ref="B115:G115"/>
    <mergeCell ref="A121:H121"/>
    <mergeCell ref="B122:G122"/>
    <mergeCell ref="A128:H128"/>
    <mergeCell ref="B129:G129"/>
    <mergeCell ref="A135:H135"/>
    <mergeCell ref="B136:G136"/>
    <mergeCell ref="A142:H142"/>
    <mergeCell ref="B143:G143"/>
    <mergeCell ref="A148:H148"/>
    <mergeCell ref="B149:G149"/>
    <mergeCell ref="A155:H155"/>
    <mergeCell ref="B156:G156"/>
    <mergeCell ref="A162:H162"/>
    <mergeCell ref="A191:H191"/>
    <mergeCell ref="B192:G192"/>
    <mergeCell ref="A198:H198"/>
    <mergeCell ref="B199:G199"/>
    <mergeCell ref="A205:H205"/>
    <mergeCell ref="B206:G206"/>
    <mergeCell ref="B163:G163"/>
    <mergeCell ref="A170:H170"/>
    <mergeCell ref="B171:G171"/>
    <mergeCell ref="A177:H177"/>
    <mergeCell ref="B178:G178"/>
    <mergeCell ref="A184:H184"/>
    <mergeCell ref="B185:G18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1.57"/>
    <col customWidth="1" min="3" max="3" width="10.29"/>
    <col customWidth="1" min="4" max="4" width="11.0"/>
    <col customWidth="1" min="5" max="26" width="8.71"/>
  </cols>
  <sheetData>
    <row r="1">
      <c r="A1" s="10" t="s">
        <v>3</v>
      </c>
      <c r="B1" s="3"/>
      <c r="C1" s="3"/>
      <c r="D1" s="5"/>
    </row>
    <row r="2">
      <c r="A2" s="16"/>
      <c r="B2" s="18"/>
      <c r="C2" s="18"/>
      <c r="D2" s="21"/>
    </row>
    <row r="3">
      <c r="A3" s="24" t="s">
        <v>37</v>
      </c>
      <c r="B3" s="24" t="s">
        <v>15</v>
      </c>
      <c r="C3" s="24" t="s">
        <v>20</v>
      </c>
      <c r="D3" s="24" t="s">
        <v>22</v>
      </c>
    </row>
    <row r="4">
      <c r="A4" s="31">
        <v>1.0</v>
      </c>
      <c r="B4" s="31" t="s">
        <v>28</v>
      </c>
      <c r="C4" s="31">
        <v>70400.0</v>
      </c>
      <c r="D4" s="31"/>
    </row>
    <row r="5">
      <c r="A5" s="31">
        <v>2.0</v>
      </c>
      <c r="B5" s="31" t="s">
        <v>49</v>
      </c>
      <c r="C5" s="31">
        <v>105600.0</v>
      </c>
      <c r="D5" s="31"/>
    </row>
    <row r="6">
      <c r="A6" s="31">
        <v>3.0</v>
      </c>
      <c r="B6" s="31" t="s">
        <v>67</v>
      </c>
      <c r="C6" s="31">
        <v>12000.0</v>
      </c>
      <c r="D6" s="31"/>
    </row>
    <row r="7">
      <c r="A7" s="31">
        <v>4.0</v>
      </c>
      <c r="B7" s="31" t="s">
        <v>83</v>
      </c>
      <c r="C7" s="31">
        <v>40000.0</v>
      </c>
      <c r="D7" s="31"/>
    </row>
    <row r="8">
      <c r="A8" s="31">
        <v>5.0</v>
      </c>
      <c r="B8" s="31" t="s">
        <v>90</v>
      </c>
      <c r="C8" s="31"/>
      <c r="D8" s="31"/>
    </row>
    <row r="9">
      <c r="A9" s="31">
        <v>6.0</v>
      </c>
      <c r="B9" s="31" t="s">
        <v>96</v>
      </c>
      <c r="C9" s="31">
        <v>800.0</v>
      </c>
      <c r="D9" s="31"/>
    </row>
    <row r="10">
      <c r="A10" s="31">
        <v>7.0</v>
      </c>
      <c r="B10" s="31" t="s">
        <v>99</v>
      </c>
      <c r="C10" s="31"/>
      <c r="D10" s="35">
        <v>117000.0</v>
      </c>
    </row>
    <row r="11">
      <c r="A11" s="31">
        <v>8.0</v>
      </c>
      <c r="B11" s="31" t="s">
        <v>102</v>
      </c>
      <c r="C11" s="31">
        <v>10500.0</v>
      </c>
      <c r="D11" s="31"/>
    </row>
    <row r="12">
      <c r="A12" s="31">
        <v>9.0</v>
      </c>
      <c r="B12" s="31" t="s">
        <v>105</v>
      </c>
      <c r="C12" s="31">
        <v>2600.0</v>
      </c>
      <c r="D12" s="31"/>
    </row>
    <row r="13">
      <c r="A13" s="31">
        <v>10.0</v>
      </c>
      <c r="B13" s="31" t="s">
        <v>108</v>
      </c>
      <c r="C13" s="31"/>
      <c r="D13" s="31">
        <v>500.0</v>
      </c>
    </row>
    <row r="14">
      <c r="A14" s="31">
        <v>11.0</v>
      </c>
      <c r="B14" s="31" t="s">
        <v>110</v>
      </c>
      <c r="C14" s="31">
        <v>1500.0</v>
      </c>
      <c r="D14" s="31"/>
    </row>
    <row r="15">
      <c r="A15" s="31">
        <v>12.0</v>
      </c>
      <c r="B15" s="31" t="s">
        <v>112</v>
      </c>
      <c r="C15" s="31">
        <v>6000.0</v>
      </c>
      <c r="D15" s="31"/>
    </row>
    <row r="16">
      <c r="A16" s="31">
        <v>13.0</v>
      </c>
      <c r="B16" s="31" t="s">
        <v>115</v>
      </c>
      <c r="C16" s="31"/>
      <c r="D16" s="35">
        <v>1000.0</v>
      </c>
    </row>
    <row r="17">
      <c r="A17" s="31">
        <v>14.0</v>
      </c>
      <c r="B17" s="31" t="s">
        <v>117</v>
      </c>
      <c r="C17" s="31">
        <v>3000.0</v>
      </c>
      <c r="D17" s="31"/>
    </row>
    <row r="18">
      <c r="A18" s="31">
        <v>15.0</v>
      </c>
      <c r="B18" s="31" t="s">
        <v>119</v>
      </c>
      <c r="C18" s="31"/>
      <c r="D18" s="35">
        <v>40000.0</v>
      </c>
    </row>
    <row r="19">
      <c r="A19" s="31">
        <v>16.0</v>
      </c>
      <c r="B19" s="31" t="s">
        <v>122</v>
      </c>
      <c r="C19" s="31"/>
      <c r="D19" s="35">
        <v>150000.0</v>
      </c>
    </row>
    <row r="20">
      <c r="A20" s="31">
        <v>17.0</v>
      </c>
      <c r="B20" s="31" t="s">
        <v>124</v>
      </c>
      <c r="C20" s="31">
        <v>3500.0</v>
      </c>
      <c r="D20" s="31"/>
    </row>
    <row r="21" ht="15.75" customHeight="1">
      <c r="A21" s="31">
        <v>18.0</v>
      </c>
      <c r="B21" s="31" t="s">
        <v>126</v>
      </c>
      <c r="C21" s="31"/>
      <c r="D21" s="31"/>
    </row>
    <row r="22" ht="15.75" customHeight="1">
      <c r="A22" s="31">
        <v>19.0</v>
      </c>
      <c r="B22" s="31" t="s">
        <v>130</v>
      </c>
      <c r="C22" s="31">
        <v>2400.0</v>
      </c>
      <c r="D22" s="31"/>
    </row>
    <row r="23" ht="15.75" customHeight="1">
      <c r="A23" s="31">
        <v>20.0</v>
      </c>
      <c r="B23" s="31" t="s">
        <v>135</v>
      </c>
      <c r="C23" s="31">
        <v>8500.0</v>
      </c>
      <c r="D23" s="31"/>
    </row>
    <row r="24" ht="15.75" customHeight="1">
      <c r="A24" s="31">
        <v>21.0</v>
      </c>
      <c r="B24" s="31" t="s">
        <v>139</v>
      </c>
      <c r="C24" s="31"/>
      <c r="D24" s="31">
        <v>500.0</v>
      </c>
    </row>
    <row r="25" ht="15.75" customHeight="1">
      <c r="A25" s="31">
        <v>22.0</v>
      </c>
      <c r="B25" s="31" t="s">
        <v>140</v>
      </c>
      <c r="C25" s="31">
        <v>14000.0</v>
      </c>
      <c r="D25" s="31"/>
    </row>
    <row r="26" ht="15.75" customHeight="1">
      <c r="A26" s="31">
        <v>23.0</v>
      </c>
      <c r="B26" s="31" t="s">
        <v>144</v>
      </c>
      <c r="C26" s="31">
        <v>400.0</v>
      </c>
      <c r="D26" s="31"/>
    </row>
    <row r="27" ht="15.75" customHeight="1">
      <c r="A27" s="31">
        <v>24.0</v>
      </c>
      <c r="B27" s="31" t="s">
        <v>147</v>
      </c>
      <c r="C27" s="31"/>
      <c r="D27" s="35">
        <v>1200.0</v>
      </c>
    </row>
    <row r="28" ht="15.75" customHeight="1">
      <c r="A28" s="31">
        <v>25.0</v>
      </c>
      <c r="B28" s="31" t="s">
        <v>151</v>
      </c>
      <c r="C28" s="31">
        <v>30000.0</v>
      </c>
      <c r="D28" s="31"/>
    </row>
    <row r="29" ht="15.75" customHeight="1">
      <c r="A29" s="31">
        <v>26.0</v>
      </c>
      <c r="B29" s="31" t="s">
        <v>155</v>
      </c>
      <c r="C29" s="31">
        <v>2000.0</v>
      </c>
      <c r="D29" s="31"/>
    </row>
    <row r="30" ht="15.75" customHeight="1">
      <c r="A30" s="31">
        <v>27.0</v>
      </c>
      <c r="B30" s="31" t="s">
        <v>157</v>
      </c>
      <c r="C30" s="31"/>
      <c r="D30" s="35">
        <v>3000.0</v>
      </c>
    </row>
    <row r="31" ht="15.75" customHeight="1">
      <c r="A31" s="42"/>
      <c r="B31" s="42"/>
      <c r="C31" s="42"/>
      <c r="D31" s="42"/>
    </row>
    <row r="32" ht="15.75" customHeight="1">
      <c r="A32" s="45"/>
      <c r="B32" s="46" t="s">
        <v>162</v>
      </c>
      <c r="C32" s="46">
        <f t="shared" ref="C32:D32" si="1">SUM(C4:C30)</f>
        <v>313200</v>
      </c>
      <c r="D32" s="46">
        <f t="shared" si="1"/>
        <v>313200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3" width="13.0"/>
    <col customWidth="1" min="4" max="4" width="22.57"/>
    <col customWidth="1" min="5" max="6" width="13.0"/>
    <col customWidth="1" min="7" max="26" width="8.71"/>
  </cols>
  <sheetData>
    <row r="1">
      <c r="A1" s="2" t="s">
        <v>148</v>
      </c>
      <c r="B1" s="3"/>
      <c r="C1" s="3"/>
      <c r="D1" s="3"/>
      <c r="E1" s="3"/>
      <c r="F1" s="5"/>
    </row>
    <row r="2">
      <c r="A2" s="40" t="s">
        <v>156</v>
      </c>
      <c r="B2" s="41"/>
      <c r="C2" s="41"/>
      <c r="D2" s="43" t="s">
        <v>158</v>
      </c>
      <c r="E2" s="41"/>
      <c r="F2" s="44"/>
    </row>
    <row r="3">
      <c r="A3" s="24" t="s">
        <v>15</v>
      </c>
      <c r="B3" s="24" t="s">
        <v>161</v>
      </c>
      <c r="C3" s="24" t="s">
        <v>161</v>
      </c>
      <c r="D3" s="24" t="s">
        <v>15</v>
      </c>
      <c r="E3" s="24" t="s">
        <v>161</v>
      </c>
      <c r="F3" s="24" t="s">
        <v>161</v>
      </c>
    </row>
    <row r="4">
      <c r="A4" s="47" t="s">
        <v>165</v>
      </c>
      <c r="B4" s="48" t="s">
        <v>166</v>
      </c>
      <c r="C4" s="48" t="s">
        <v>166</v>
      </c>
      <c r="D4" s="47" t="s">
        <v>167</v>
      </c>
      <c r="E4" s="49">
        <v>117000.0</v>
      </c>
      <c r="F4" s="50"/>
    </row>
    <row r="5">
      <c r="A5" s="47" t="s">
        <v>169</v>
      </c>
      <c r="B5" s="49">
        <v>40000.0</v>
      </c>
      <c r="C5" s="50"/>
      <c r="D5" s="47" t="s">
        <v>172</v>
      </c>
      <c r="E5" s="52">
        <v>1500.0</v>
      </c>
      <c r="F5" s="53">
        <v>115500.0</v>
      </c>
    </row>
    <row r="6">
      <c r="A6" s="47" t="s">
        <v>173</v>
      </c>
      <c r="B6" s="52">
        <v>1000.0</v>
      </c>
      <c r="C6" s="53">
        <v>39000.0</v>
      </c>
      <c r="D6" s="47" t="s">
        <v>175</v>
      </c>
      <c r="E6" s="54"/>
      <c r="F6" s="53">
        <v>10000.0</v>
      </c>
    </row>
    <row r="7">
      <c r="A7" s="24" t="s">
        <v>178</v>
      </c>
      <c r="B7" s="54"/>
      <c r="C7" s="50"/>
      <c r="D7" s="50"/>
      <c r="E7" s="50"/>
      <c r="F7" s="50"/>
    </row>
    <row r="8">
      <c r="A8" s="47" t="s">
        <v>180</v>
      </c>
      <c r="B8" s="50"/>
      <c r="C8" s="55">
        <v>800.0</v>
      </c>
      <c r="D8" s="50"/>
      <c r="E8" s="50"/>
      <c r="F8" s="42"/>
    </row>
    <row r="9">
      <c r="A9" s="47" t="s">
        <v>182</v>
      </c>
      <c r="B9" s="50"/>
      <c r="C9" s="52">
        <v>85700.0</v>
      </c>
      <c r="D9" s="50"/>
      <c r="E9" s="50"/>
      <c r="F9" s="56"/>
    </row>
    <row r="10">
      <c r="A10" s="50"/>
      <c r="B10" s="50"/>
      <c r="C10" s="57">
        <v>125500.0</v>
      </c>
      <c r="D10" s="50"/>
      <c r="E10" s="50"/>
      <c r="F10" s="57">
        <f>SUM(F5:F6)</f>
        <v>125500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C2"/>
    <mergeCell ref="D2:F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43"/>
    <col customWidth="1" min="2" max="3" width="13.0"/>
    <col customWidth="1" min="4" max="4" width="35.57"/>
    <col customWidth="1" min="5" max="6" width="13.0"/>
    <col customWidth="1" min="7" max="26" width="8.71"/>
  </cols>
  <sheetData>
    <row r="1">
      <c r="A1" s="2" t="s">
        <v>198</v>
      </c>
      <c r="B1" s="3"/>
      <c r="C1" s="3"/>
      <c r="D1" s="3"/>
      <c r="E1" s="3"/>
      <c r="F1" s="5"/>
    </row>
    <row r="2">
      <c r="A2" s="58" t="s">
        <v>156</v>
      </c>
      <c r="B2" s="27"/>
      <c r="C2" s="27"/>
      <c r="D2" s="59" t="s">
        <v>158</v>
      </c>
      <c r="E2" s="27"/>
      <c r="F2" s="60"/>
    </row>
    <row r="3">
      <c r="A3" s="24" t="s">
        <v>15</v>
      </c>
      <c r="B3" s="24" t="s">
        <v>161</v>
      </c>
      <c r="C3" s="24" t="s">
        <v>161</v>
      </c>
      <c r="D3" s="24" t="s">
        <v>15</v>
      </c>
      <c r="E3" s="24" t="s">
        <v>161</v>
      </c>
      <c r="F3" s="24" t="s">
        <v>161</v>
      </c>
    </row>
    <row r="4">
      <c r="A4" s="31" t="s">
        <v>204</v>
      </c>
      <c r="B4" s="50"/>
      <c r="C4" s="35">
        <v>2600.0</v>
      </c>
      <c r="D4" s="31" t="s">
        <v>206</v>
      </c>
      <c r="E4" s="50"/>
      <c r="F4" s="35">
        <v>85700.0</v>
      </c>
    </row>
    <row r="5">
      <c r="A5" s="31" t="s">
        <v>207</v>
      </c>
      <c r="B5" s="50"/>
      <c r="C5" s="35">
        <v>6000.0</v>
      </c>
      <c r="D5" s="31" t="s">
        <v>210</v>
      </c>
      <c r="E5" s="50"/>
      <c r="F5" s="31">
        <v>500.0</v>
      </c>
    </row>
    <row r="6">
      <c r="A6" s="31" t="s">
        <v>211</v>
      </c>
      <c r="B6" s="50"/>
      <c r="C6" s="35">
        <v>3500.0</v>
      </c>
      <c r="D6" s="31" t="s">
        <v>212</v>
      </c>
      <c r="E6" s="50"/>
      <c r="F6" s="35">
        <v>1200.0</v>
      </c>
    </row>
    <row r="7">
      <c r="A7" s="31" t="s">
        <v>213</v>
      </c>
      <c r="B7" s="50"/>
      <c r="C7" s="35">
        <v>2400.0</v>
      </c>
      <c r="D7" s="31" t="s">
        <v>216</v>
      </c>
      <c r="E7" s="50"/>
      <c r="F7" s="35">
        <v>3000.0</v>
      </c>
    </row>
    <row r="8">
      <c r="A8" s="31" t="s">
        <v>217</v>
      </c>
      <c r="B8" s="61">
        <v>14000.0</v>
      </c>
      <c r="C8" s="50"/>
      <c r="D8" s="50"/>
      <c r="E8" s="50"/>
      <c r="F8" s="50"/>
    </row>
    <row r="9">
      <c r="A9" s="31" t="s">
        <v>218</v>
      </c>
      <c r="B9" s="62">
        <v>5000.0</v>
      </c>
      <c r="C9" s="35">
        <v>19000.0</v>
      </c>
      <c r="D9" s="50"/>
      <c r="E9" s="50"/>
      <c r="F9" s="50"/>
    </row>
    <row r="10">
      <c r="A10" s="31" t="s">
        <v>221</v>
      </c>
      <c r="B10" s="54"/>
      <c r="C10" s="31">
        <v>400.0</v>
      </c>
      <c r="D10" s="50"/>
      <c r="E10" s="50"/>
      <c r="F10" s="50"/>
    </row>
    <row r="11">
      <c r="A11" s="31" t="s">
        <v>222</v>
      </c>
      <c r="B11" s="50"/>
      <c r="C11" s="35">
        <v>2000.0</v>
      </c>
      <c r="D11" s="50"/>
      <c r="E11" s="50"/>
      <c r="F11" s="50"/>
    </row>
    <row r="12">
      <c r="A12" s="31" t="s">
        <v>224</v>
      </c>
      <c r="B12" s="50"/>
      <c r="C12" s="35">
        <v>1200.0</v>
      </c>
      <c r="D12" s="50"/>
      <c r="E12" s="50"/>
      <c r="F12" s="50"/>
    </row>
    <row r="13">
      <c r="A13" s="31" t="s">
        <v>226</v>
      </c>
      <c r="B13" s="50"/>
      <c r="C13" s="61">
        <v>3000.0</v>
      </c>
      <c r="D13" s="50"/>
      <c r="E13" s="50"/>
      <c r="F13" s="42"/>
    </row>
    <row r="14">
      <c r="A14" s="31" t="s">
        <v>227</v>
      </c>
      <c r="B14" s="50"/>
      <c r="C14" s="62">
        <f>90400-SUM(C4:C13)</f>
        <v>50300</v>
      </c>
      <c r="D14" s="50"/>
      <c r="E14" s="50"/>
      <c r="F14" s="56"/>
    </row>
    <row r="15">
      <c r="A15" s="50"/>
      <c r="B15" s="50"/>
      <c r="C15" s="63">
        <v>90400.0</v>
      </c>
      <c r="D15" s="50"/>
      <c r="E15" s="50"/>
      <c r="F15" s="63">
        <f>SUM(F4:F7)</f>
        <v>90400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C2"/>
    <mergeCell ref="D2:F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3" width="13.0"/>
    <col customWidth="1" min="4" max="4" width="27.57"/>
    <col customWidth="1" min="5" max="6" width="13.0"/>
    <col customWidth="1" min="7" max="26" width="8.71"/>
  </cols>
  <sheetData>
    <row r="1">
      <c r="A1" s="2" t="s">
        <v>233</v>
      </c>
      <c r="B1" s="3"/>
      <c r="C1" s="3"/>
      <c r="D1" s="3"/>
      <c r="E1" s="3"/>
      <c r="F1" s="5"/>
    </row>
    <row r="2">
      <c r="A2" s="16"/>
      <c r="B2" s="18"/>
      <c r="C2" s="18"/>
      <c r="D2" s="18"/>
      <c r="E2" s="18"/>
      <c r="F2" s="21"/>
    </row>
    <row r="3">
      <c r="A3" s="24" t="s">
        <v>235</v>
      </c>
      <c r="B3" s="24" t="s">
        <v>161</v>
      </c>
      <c r="C3" s="24" t="s">
        <v>161</v>
      </c>
      <c r="D3" s="24" t="s">
        <v>236</v>
      </c>
      <c r="E3" s="24" t="s">
        <v>161</v>
      </c>
      <c r="F3" s="24" t="s">
        <v>161</v>
      </c>
    </row>
    <row r="4">
      <c r="A4" s="31" t="s">
        <v>237</v>
      </c>
      <c r="B4" s="35">
        <v>150000.0</v>
      </c>
      <c r="C4" s="50"/>
      <c r="D4" s="64" t="s">
        <v>238</v>
      </c>
      <c r="E4" s="50"/>
      <c r="F4" s="50"/>
    </row>
    <row r="5">
      <c r="A5" s="31" t="s">
        <v>240</v>
      </c>
      <c r="B5" s="35">
        <v>50300.0</v>
      </c>
      <c r="C5" s="50"/>
      <c r="D5" s="31" t="s">
        <v>49</v>
      </c>
      <c r="E5" s="35">
        <v>105600.0</v>
      </c>
      <c r="F5" s="50"/>
    </row>
    <row r="6">
      <c r="A6" s="50"/>
      <c r="B6" s="35">
        <v>200300.0</v>
      </c>
      <c r="C6" s="50"/>
      <c r="D6" s="31" t="s">
        <v>28</v>
      </c>
      <c r="E6" s="35">
        <v>70400.0</v>
      </c>
      <c r="F6" s="35">
        <v>176000.0</v>
      </c>
    </row>
    <row r="7">
      <c r="A7" s="31" t="s">
        <v>241</v>
      </c>
      <c r="B7" s="35">
        <v>3000.0</v>
      </c>
      <c r="C7" s="35">
        <v>197300.0</v>
      </c>
      <c r="D7" s="31" t="s">
        <v>242</v>
      </c>
      <c r="E7" s="50"/>
      <c r="F7" s="35">
        <v>10000.0</v>
      </c>
    </row>
    <row r="8">
      <c r="A8" s="64" t="s">
        <v>244</v>
      </c>
      <c r="B8" s="50"/>
      <c r="C8" s="50"/>
      <c r="D8" s="31" t="s">
        <v>102</v>
      </c>
      <c r="E8" s="50"/>
      <c r="F8" s="35">
        <v>10500.0</v>
      </c>
    </row>
    <row r="9">
      <c r="A9" s="31" t="s">
        <v>119</v>
      </c>
      <c r="B9" s="50"/>
      <c r="C9" s="35">
        <v>40000.0</v>
      </c>
      <c r="D9" s="64" t="s">
        <v>245</v>
      </c>
      <c r="E9" s="50"/>
      <c r="F9" s="50"/>
    </row>
    <row r="10">
      <c r="A10" s="64" t="s">
        <v>246</v>
      </c>
      <c r="B10" s="50"/>
      <c r="C10" s="50"/>
      <c r="D10" s="31" t="s">
        <v>151</v>
      </c>
      <c r="E10" s="35">
        <v>30000.0</v>
      </c>
      <c r="F10" s="50"/>
    </row>
    <row r="11">
      <c r="A11" s="31" t="s">
        <v>247</v>
      </c>
      <c r="B11" s="50"/>
      <c r="C11" s="35">
        <v>5000.0</v>
      </c>
      <c r="D11" s="31" t="s">
        <v>248</v>
      </c>
      <c r="E11" s="35">
        <v>3000.0</v>
      </c>
      <c r="F11" s="35">
        <v>27000.0</v>
      </c>
    </row>
    <row r="12">
      <c r="A12" s="31" t="s">
        <v>229</v>
      </c>
      <c r="B12" s="50"/>
      <c r="C12" s="31">
        <v>500.0</v>
      </c>
      <c r="D12" s="31" t="s">
        <v>250</v>
      </c>
      <c r="E12" s="35">
        <v>12000.0</v>
      </c>
      <c r="F12" s="50"/>
    </row>
    <row r="13">
      <c r="A13" s="50"/>
      <c r="B13" s="50"/>
      <c r="C13" s="50"/>
      <c r="D13" s="31" t="s">
        <v>248</v>
      </c>
      <c r="E13" s="35">
        <v>1200.0</v>
      </c>
      <c r="F13" s="35">
        <v>10800.0</v>
      </c>
    </row>
    <row r="14">
      <c r="A14" s="50"/>
      <c r="B14" s="50"/>
      <c r="C14" s="50"/>
      <c r="D14" s="31" t="s">
        <v>135</v>
      </c>
      <c r="E14" s="50"/>
      <c r="F14" s="35">
        <v>8500.0</v>
      </c>
    </row>
    <row r="15">
      <c r="A15" s="50"/>
      <c r="B15" s="50"/>
      <c r="C15" s="50"/>
      <c r="D15" s="50"/>
      <c r="E15" s="50"/>
      <c r="F15" s="50"/>
    </row>
    <row r="16">
      <c r="A16" s="50"/>
      <c r="B16" s="50"/>
      <c r="C16" s="72">
        <v>242800.0</v>
      </c>
      <c r="D16" s="50"/>
      <c r="E16" s="50"/>
      <c r="F16" s="72">
        <v>242800.0</v>
      </c>
    </row>
    <row r="17">
      <c r="A17" s="73"/>
      <c r="B17" s="75"/>
      <c r="C17" s="75"/>
      <c r="D17" s="75"/>
      <c r="E17" s="75"/>
      <c r="F17" s="77"/>
    </row>
    <row r="18">
      <c r="A18" s="6"/>
      <c r="B18" s="6"/>
      <c r="C18" s="6"/>
      <c r="D18" s="6"/>
      <c r="E18" s="6"/>
      <c r="F1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86"/>
    <col customWidth="1" min="2" max="2" width="82.0"/>
    <col customWidth="1" min="3" max="3" width="102.86"/>
    <col customWidth="1" min="4" max="6" width="9.14"/>
    <col customWidth="1" min="7" max="26" width="8.71"/>
  </cols>
  <sheetData>
    <row r="1">
      <c r="A1" s="65" t="s">
        <v>249</v>
      </c>
      <c r="B1" s="60"/>
      <c r="C1" s="66" t="s">
        <v>251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7" t="s">
        <v>252</v>
      </c>
      <c r="B2" s="68"/>
      <c r="C2" s="69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0" t="s">
        <v>253</v>
      </c>
      <c r="B3" s="70" t="s">
        <v>254</v>
      </c>
      <c r="C3" s="71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4" t="s">
        <v>255</v>
      </c>
      <c r="B4" s="76">
        <v>196500.0</v>
      </c>
      <c r="C4" s="71" t="s">
        <v>256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4" t="s">
        <v>258</v>
      </c>
      <c r="B5" s="76">
        <v>5500.0</v>
      </c>
      <c r="C5" s="71" t="s">
        <v>259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1"/>
      <c r="B6" s="78"/>
      <c r="C6" s="79" t="s">
        <v>260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4" t="s">
        <v>261</v>
      </c>
      <c r="B7" s="80">
        <f>SUM(B4/B5)</f>
        <v>35.72727273</v>
      </c>
      <c r="C7" s="79" t="s">
        <v>262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1"/>
      <c r="B8" s="82"/>
      <c r="C8" s="81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0" t="s">
        <v>263</v>
      </c>
      <c r="B9" s="83" t="s">
        <v>264</v>
      </c>
      <c r="C9" s="71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4" t="s">
        <v>265</v>
      </c>
      <c r="B10" s="76">
        <v>186500.0</v>
      </c>
      <c r="C10" s="71" t="s">
        <v>266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4" t="s">
        <v>258</v>
      </c>
      <c r="B11" s="76">
        <v>5500.0</v>
      </c>
      <c r="C11" s="71" t="s">
        <v>267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1"/>
      <c r="B12" s="78"/>
      <c r="C12" s="79" t="s">
        <v>268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4" t="s">
        <v>269</v>
      </c>
      <c r="B13" s="80">
        <f>SUM(B10/B11)</f>
        <v>33.90909091</v>
      </c>
      <c r="C13" s="85" t="s">
        <v>270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81"/>
      <c r="B14" s="86"/>
      <c r="C14" s="81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0" t="s">
        <v>272</v>
      </c>
      <c r="B15" s="87" t="s">
        <v>273</v>
      </c>
      <c r="C15" s="71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4" t="s">
        <v>274</v>
      </c>
      <c r="B16" s="76">
        <v>176000.0</v>
      </c>
      <c r="C16" s="71" t="s">
        <v>275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4" t="s">
        <v>258</v>
      </c>
      <c r="B17" s="76">
        <v>5500.0</v>
      </c>
      <c r="C17" s="71" t="s">
        <v>276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1"/>
      <c r="B18" s="78"/>
      <c r="C18" s="71" t="s">
        <v>277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4" t="s">
        <v>278</v>
      </c>
      <c r="B19" s="80">
        <f>SUM(B16/B17)</f>
        <v>32</v>
      </c>
      <c r="C19" s="79" t="s">
        <v>279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1"/>
      <c r="B20" s="86"/>
      <c r="C20" s="81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70" t="s">
        <v>280</v>
      </c>
      <c r="B21" s="87" t="s">
        <v>281</v>
      </c>
      <c r="C21" s="71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74" t="s">
        <v>282</v>
      </c>
      <c r="B22" s="76">
        <v>45500.0</v>
      </c>
      <c r="C22" s="71" t="s">
        <v>283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74" t="s">
        <v>284</v>
      </c>
      <c r="B23" s="76">
        <v>197300.0</v>
      </c>
      <c r="C23" s="71" t="s">
        <v>285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71"/>
      <c r="B24" s="78"/>
      <c r="C24" s="71" t="s">
        <v>286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74" t="s">
        <v>287</v>
      </c>
      <c r="B25" s="89">
        <f>SUM(B22/B23)</f>
        <v>0.2306132793</v>
      </c>
      <c r="C25" s="79" t="s">
        <v>288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81"/>
      <c r="B26" s="82"/>
      <c r="C26" s="81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70" t="s">
        <v>289</v>
      </c>
      <c r="B27" s="87" t="s">
        <v>290</v>
      </c>
      <c r="C27" s="71" t="s">
        <v>292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74" t="s">
        <v>282</v>
      </c>
      <c r="B28" s="76">
        <v>45500.0</v>
      </c>
      <c r="C28" s="71" t="s">
        <v>293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74" t="s">
        <v>294</v>
      </c>
      <c r="B29" s="76">
        <v>242800.0</v>
      </c>
      <c r="C29" s="71" t="s">
        <v>295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74" t="s">
        <v>296</v>
      </c>
      <c r="B30" s="89">
        <f>SUM(B28/B29)</f>
        <v>0.1873970346</v>
      </c>
      <c r="C30" s="71" t="s">
        <v>297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81"/>
      <c r="B31" s="82"/>
      <c r="C31" s="81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70" t="s">
        <v>298</v>
      </c>
      <c r="B32" s="87" t="s">
        <v>299</v>
      </c>
      <c r="C32" s="71" t="s">
        <v>300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74" t="s">
        <v>301</v>
      </c>
      <c r="B33" s="76">
        <v>115500.0</v>
      </c>
      <c r="C33" s="71" t="s">
        <v>303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74" t="s">
        <v>294</v>
      </c>
      <c r="B34" s="76">
        <v>242800.0</v>
      </c>
      <c r="C34" s="71" t="s">
        <v>304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74" t="s">
        <v>305</v>
      </c>
      <c r="B35" s="90">
        <f>SUM(B33/B34)</f>
        <v>0.4757001647</v>
      </c>
      <c r="C35" s="71" t="s">
        <v>307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81"/>
      <c r="B36" s="82"/>
      <c r="C36" s="81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70" t="s">
        <v>308</v>
      </c>
      <c r="B37" s="87" t="s">
        <v>309</v>
      </c>
      <c r="C37" s="71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74" t="s">
        <v>310</v>
      </c>
      <c r="B38" s="76">
        <v>29800.0</v>
      </c>
      <c r="C38" s="71" t="s">
        <v>311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74" t="s">
        <v>312</v>
      </c>
      <c r="B39" s="76">
        <v>5000.0</v>
      </c>
      <c r="C39" s="71" t="s">
        <v>313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71"/>
      <c r="B40" s="78"/>
      <c r="C40" s="79" t="s">
        <v>314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74" t="s">
        <v>315</v>
      </c>
      <c r="B41" s="80">
        <f>SUM(B38/B39)</f>
        <v>5.96</v>
      </c>
      <c r="C41" s="71" t="s">
        <v>316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81"/>
      <c r="B42" s="82"/>
      <c r="C42" s="81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70" t="s">
        <v>317</v>
      </c>
      <c r="B43" s="87" t="s">
        <v>318</v>
      </c>
      <c r="C43" s="71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74" t="s">
        <v>320</v>
      </c>
      <c r="B44" s="76">
        <v>115500.0</v>
      </c>
      <c r="C44" s="71" t="s">
        <v>321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74" t="s">
        <v>322</v>
      </c>
      <c r="B45" s="76">
        <v>191000.0</v>
      </c>
      <c r="C45" s="71" t="s">
        <v>323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71"/>
      <c r="B46" s="78"/>
      <c r="C46" s="71" t="s">
        <v>324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91" t="s">
        <v>325</v>
      </c>
      <c r="B47" s="92">
        <f>SUM(B44/B45)</f>
        <v>0.6047120419</v>
      </c>
      <c r="C47" s="69" t="s">
        <v>326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A1:B1"/>
    <mergeCell ref="A2:B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2026-09-01T03:26:51Z</dcterms:created>
</cp:coreProperties>
</file>